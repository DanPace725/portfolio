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ink/ink1.xml" ContentType="application/inkml+xml"/>
  <Override PartName="/xl/ink/ink2.xml" ContentType="application/inkml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5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cha\Documents\"/>
    </mc:Choice>
  </mc:AlternateContent>
  <xr:revisionPtr revIDLastSave="0" documentId="13_ncr:1_{AAEACC53-B6C9-4793-9A2A-CC5AF4723B59}" xr6:coauthVersionLast="47" xr6:coauthVersionMax="47" xr10:uidLastSave="{00000000-0000-0000-0000-000000000000}"/>
  <bookViews>
    <workbookView xWindow="-110" yWindow="-110" windowWidth="24220" windowHeight="15500" xr2:uid="{82695A8C-E01E-4C03-98E5-E5322464D03B}"/>
  </bookViews>
  <sheets>
    <sheet name="Raw Vote Data" sheetId="1" r:id="rId1"/>
    <sheet name="DR Breakdown" sheetId="2" r:id="rId2"/>
    <sheet name="Z Scores" sheetId="3" r:id="rId3"/>
    <sheet name="Votes and Population" sheetId="4" r:id="rId4"/>
    <sheet name="1972-2024" sheetId="6" r:id="rId5"/>
    <sheet name="Sheet1" sheetId="7" r:id="rId6"/>
    <sheet name="Charts" sheetId="5" r:id="rId7"/>
  </sheets>
  <definedNames>
    <definedName name="_xlchart.v1.0" hidden="1">'Votes and Population'!$A$4:$A$32</definedName>
    <definedName name="_xlchart.v1.1" hidden="1">'Votes and Population'!$O$4:$O$32</definedName>
    <definedName name="_xlchart.v1.10" hidden="1">'Votes and Population'!$O$4:$O$32</definedName>
    <definedName name="_xlchart.v1.2" hidden="1">'1972-2024'!$A$2:$A$15</definedName>
    <definedName name="_xlchart.v1.3" hidden="1">'1972-2024'!$K$2:$K$15</definedName>
    <definedName name="_xlchart.v1.4" hidden="1">'1972-2024'!$A$2:$A$15</definedName>
    <definedName name="_xlchart.v1.5" hidden="1">'1972-2024'!$O$2:$O$15</definedName>
    <definedName name="_xlchart.v1.6" hidden="1">'Votes and Population'!$A$4:$A$32</definedName>
    <definedName name="_xlchart.v1.7" hidden="1">'Votes and Population'!$C$4:$C$32</definedName>
    <definedName name="_xlchart.v1.8" hidden="1">'Votes and Population'!$K$4:$K$32</definedName>
    <definedName name="_xlchart.v1.9" hidden="1">'Votes and Population'!$A$4:$A$32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F6" i="6"/>
  <c r="F7" i="6"/>
  <c r="F9" i="6"/>
  <c r="F10" i="6"/>
  <c r="F11" i="6"/>
  <c r="F12" i="6"/>
  <c r="F13" i="6"/>
  <c r="F14" i="6"/>
  <c r="E2" i="6"/>
  <c r="F2" i="6" s="1"/>
  <c r="E3" i="6"/>
  <c r="F3" i="6" s="1"/>
  <c r="E4" i="6"/>
  <c r="F4" i="6" s="1"/>
  <c r="E5" i="6"/>
  <c r="F5" i="6" s="1"/>
  <c r="E6" i="6"/>
  <c r="E7" i="6"/>
  <c r="E8" i="6"/>
  <c r="F8" i="6" s="1"/>
  <c r="E9" i="6"/>
  <c r="E10" i="6"/>
  <c r="E11" i="6"/>
  <c r="E12" i="6"/>
  <c r="E13" i="6"/>
  <c r="E14" i="6"/>
  <c r="E15" i="6"/>
  <c r="F15" i="6" s="1"/>
  <c r="R26" i="6" l="1"/>
  <c r="R25" i="6"/>
  <c r="B8" i="4"/>
  <c r="B6" i="4"/>
  <c r="B7" i="4"/>
  <c r="B5" i="4"/>
  <c r="G26" i="4"/>
  <c r="B4" i="4"/>
  <c r="M8" i="4"/>
  <c r="F12" i="4"/>
  <c r="G12" i="4" s="1"/>
  <c r="F13" i="4"/>
  <c r="G13" i="4" s="1"/>
  <c r="F14" i="4"/>
  <c r="G14" i="4" s="1"/>
  <c r="F18" i="4"/>
  <c r="F19" i="4"/>
  <c r="G19" i="4" s="1"/>
  <c r="F20" i="4"/>
  <c r="G20" i="4" s="1"/>
  <c r="E4" i="4"/>
  <c r="E5" i="4"/>
  <c r="E6" i="4"/>
  <c r="E7" i="4"/>
  <c r="E8" i="4"/>
  <c r="E9" i="4"/>
  <c r="F9" i="4" s="1"/>
  <c r="E10" i="4"/>
  <c r="F10" i="4" s="1"/>
  <c r="G10" i="4" s="1"/>
  <c r="E11" i="4"/>
  <c r="F11" i="4" s="1"/>
  <c r="G11" i="4" s="1"/>
  <c r="E12" i="4"/>
  <c r="E13" i="4"/>
  <c r="E14" i="4"/>
  <c r="E15" i="4"/>
  <c r="F15" i="4" s="1"/>
  <c r="G15" i="4" s="1"/>
  <c r="E16" i="4"/>
  <c r="F16" i="4" s="1"/>
  <c r="G16" i="4" s="1"/>
  <c r="E17" i="4"/>
  <c r="F17" i="4" s="1"/>
  <c r="E18" i="4"/>
  <c r="E19" i="4"/>
  <c r="E20" i="4"/>
  <c r="E21" i="4"/>
  <c r="F21" i="4" s="1"/>
  <c r="G21" i="4" s="1"/>
  <c r="E22" i="4"/>
  <c r="F22" i="4" s="1"/>
  <c r="G22" i="4" s="1"/>
  <c r="E23" i="4"/>
  <c r="F23" i="4" s="1"/>
  <c r="G23" i="4" s="1"/>
  <c r="E24" i="4"/>
  <c r="F24" i="4" s="1"/>
  <c r="G24" i="4" s="1"/>
  <c r="E25" i="4"/>
  <c r="F25" i="4" s="1"/>
  <c r="E26" i="4"/>
  <c r="F26" i="4" s="1"/>
  <c r="E27" i="4"/>
  <c r="F27" i="4" s="1"/>
  <c r="G27" i="4" s="1"/>
  <c r="E28" i="4"/>
  <c r="F28" i="4" s="1"/>
  <c r="G28" i="4" s="1"/>
  <c r="E29" i="4"/>
  <c r="F29" i="4" s="1"/>
  <c r="G29" i="4" s="1"/>
  <c r="E30" i="4"/>
  <c r="F30" i="4" s="1"/>
  <c r="G30" i="4" s="1"/>
  <c r="E31" i="4"/>
  <c r="F31" i="4" s="1"/>
  <c r="G31" i="4" s="1"/>
  <c r="E32" i="4"/>
  <c r="F32" i="4" s="1"/>
  <c r="G32" i="4" s="1"/>
  <c r="Q34" i="4" s="1"/>
  <c r="I7" i="4"/>
  <c r="I6" i="4"/>
  <c r="I5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U20" i="6"/>
  <c r="U19" i="6"/>
  <c r="U16" i="6"/>
  <c r="U15" i="6"/>
  <c r="U14" i="6"/>
  <c r="U13" i="6"/>
  <c r="R20" i="6"/>
  <c r="R19" i="6"/>
  <c r="R16" i="6"/>
  <c r="R15" i="6"/>
  <c r="R14" i="6"/>
  <c r="R13" i="6"/>
  <c r="U9" i="6"/>
  <c r="U8" i="6"/>
  <c r="U5" i="6"/>
  <c r="U4" i="6"/>
  <c r="U3" i="6"/>
  <c r="U2" i="6"/>
  <c r="R9" i="6"/>
  <c r="R8" i="6"/>
  <c r="R5" i="6"/>
  <c r="R4" i="6"/>
  <c r="R3" i="6"/>
  <c r="R2" i="6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G30" i="1"/>
  <c r="J30" i="1" s="1"/>
  <c r="B30" i="2" s="1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C4" i="2"/>
  <c r="C5" i="2"/>
  <c r="C6" i="2"/>
  <c r="C12" i="2"/>
  <c r="C13" i="2"/>
  <c r="D13" i="2" s="1"/>
  <c r="C16" i="2"/>
  <c r="D16" i="2" s="1"/>
  <c r="C17" i="2"/>
  <c r="D17" i="2" s="1"/>
  <c r="C18" i="2"/>
  <c r="C19" i="2"/>
  <c r="C20" i="2"/>
  <c r="C21" i="2"/>
  <c r="C22" i="2"/>
  <c r="D22" i="2" s="1"/>
  <c r="C24" i="2"/>
  <c r="C25" i="2"/>
  <c r="C28" i="2"/>
  <c r="J2" i="1"/>
  <c r="L2" i="1" s="1"/>
  <c r="J3" i="1"/>
  <c r="C3" i="2" s="1"/>
  <c r="J4" i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J14" i="1"/>
  <c r="C14" i="2" s="1"/>
  <c r="J15" i="1"/>
  <c r="C15" i="2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C23" i="2" s="1"/>
  <c r="J24" i="1"/>
  <c r="J25" i="1"/>
  <c r="L25" i="1" s="1"/>
  <c r="J26" i="1"/>
  <c r="L26" i="1" s="1"/>
  <c r="J27" i="1"/>
  <c r="L27" i="1" s="1"/>
  <c r="J28" i="1"/>
  <c r="L28" i="1" s="1"/>
  <c r="J29" i="1"/>
  <c r="L29" i="1" s="1"/>
  <c r="G13" i="6" l="1"/>
  <c r="G2" i="6"/>
  <c r="G3" i="6"/>
  <c r="G4" i="6"/>
  <c r="G5" i="6"/>
  <c r="G6" i="6"/>
  <c r="G7" i="6"/>
  <c r="G8" i="6"/>
  <c r="G9" i="6"/>
  <c r="G10" i="6"/>
  <c r="G11" i="6"/>
  <c r="G12" i="6"/>
  <c r="G14" i="6"/>
  <c r="G15" i="6"/>
  <c r="Q30" i="4"/>
  <c r="Q31" i="4"/>
  <c r="Q28" i="4"/>
  <c r="Q29" i="4"/>
  <c r="R29" i="4" s="1"/>
  <c r="Q33" i="4"/>
  <c r="N8" i="6"/>
  <c r="M2" i="6"/>
  <c r="M6" i="6"/>
  <c r="M11" i="6"/>
  <c r="M14" i="6"/>
  <c r="M3" i="6"/>
  <c r="M5" i="6"/>
  <c r="M9" i="6"/>
  <c r="M13" i="6"/>
  <c r="M4" i="6"/>
  <c r="M12" i="6"/>
  <c r="M7" i="6"/>
  <c r="M8" i="6"/>
  <c r="M10" i="6"/>
  <c r="M15" i="6"/>
  <c r="N3" i="6"/>
  <c r="N2" i="6"/>
  <c r="O2" i="6" s="1"/>
  <c r="N4" i="6"/>
  <c r="I2" i="6"/>
  <c r="I3" i="6"/>
  <c r="I14" i="6"/>
  <c r="I4" i="6"/>
  <c r="I15" i="6"/>
  <c r="I5" i="6"/>
  <c r="I6" i="6"/>
  <c r="I7" i="6"/>
  <c r="I8" i="6"/>
  <c r="I12" i="6"/>
  <c r="I9" i="6"/>
  <c r="I10" i="6"/>
  <c r="I11" i="6"/>
  <c r="I13" i="6"/>
  <c r="J11" i="6"/>
  <c r="J10" i="6"/>
  <c r="K11" i="6" s="1"/>
  <c r="J8" i="6"/>
  <c r="K9" i="6" s="1"/>
  <c r="N13" i="6"/>
  <c r="U17" i="6"/>
  <c r="J14" i="6"/>
  <c r="J13" i="6"/>
  <c r="J12" i="6"/>
  <c r="K13" i="6" s="1"/>
  <c r="N7" i="6"/>
  <c r="O8" i="6" s="1"/>
  <c r="N6" i="6"/>
  <c r="O7" i="6" s="1"/>
  <c r="J15" i="6"/>
  <c r="N5" i="6"/>
  <c r="G17" i="4"/>
  <c r="G18" i="4"/>
  <c r="F8" i="4"/>
  <c r="F7" i="4"/>
  <c r="F6" i="4"/>
  <c r="F5" i="4"/>
  <c r="F4" i="4"/>
  <c r="G25" i="4"/>
  <c r="L8" i="4"/>
  <c r="G6" i="4"/>
  <c r="L4" i="4"/>
  <c r="L6" i="4"/>
  <c r="L30" i="1"/>
  <c r="M7" i="4"/>
  <c r="M6" i="4"/>
  <c r="M5" i="4"/>
  <c r="M4" i="4"/>
  <c r="L7" i="4"/>
  <c r="L5" i="4"/>
  <c r="J5" i="6"/>
  <c r="J4" i="6"/>
  <c r="K5" i="6" s="1"/>
  <c r="J3" i="6"/>
  <c r="N15" i="6"/>
  <c r="N12" i="6"/>
  <c r="J9" i="6"/>
  <c r="J6" i="6"/>
  <c r="N14" i="6"/>
  <c r="N11" i="6"/>
  <c r="J7" i="6"/>
  <c r="N10" i="6"/>
  <c r="O11" i="6" s="1"/>
  <c r="J2" i="6"/>
  <c r="N9" i="6"/>
  <c r="U18" i="6"/>
  <c r="R17" i="6"/>
  <c r="R18" i="6" s="1"/>
  <c r="U6" i="6"/>
  <c r="U7" i="6" s="1"/>
  <c r="R6" i="6"/>
  <c r="R7" i="6" s="1"/>
  <c r="I8" i="4"/>
  <c r="I4" i="4"/>
  <c r="Q12" i="4" s="1"/>
  <c r="D15" i="2"/>
  <c r="C2" i="2"/>
  <c r="D23" i="2"/>
  <c r="D14" i="2"/>
  <c r="L15" i="1"/>
  <c r="L4" i="1"/>
  <c r="L3" i="1"/>
  <c r="D3" i="2"/>
  <c r="L14" i="1"/>
  <c r="L13" i="1"/>
  <c r="C9" i="2"/>
  <c r="D9" i="2" s="1"/>
  <c r="D4" i="2"/>
  <c r="D28" i="2"/>
  <c r="L23" i="1"/>
  <c r="D2" i="2"/>
  <c r="D25" i="2"/>
  <c r="C11" i="2"/>
  <c r="D11" i="2" s="1"/>
  <c r="C10" i="2"/>
  <c r="D10" i="2" s="1"/>
  <c r="C8" i="2"/>
  <c r="D8" i="2" s="1"/>
  <c r="C29" i="2"/>
  <c r="D29" i="2" s="1"/>
  <c r="C7" i="2"/>
  <c r="D7" i="2" s="1"/>
  <c r="D12" i="2"/>
  <c r="C27" i="2"/>
  <c r="D27" i="2" s="1"/>
  <c r="D30" i="2"/>
  <c r="C26" i="2"/>
  <c r="D26" i="2" s="1"/>
  <c r="L24" i="1"/>
  <c r="D24" i="2"/>
  <c r="D6" i="2"/>
  <c r="D21" i="2"/>
  <c r="D20" i="2"/>
  <c r="D19" i="2"/>
  <c r="D18" i="2"/>
  <c r="Q35" i="4" l="1"/>
  <c r="Q36" i="4" s="1"/>
  <c r="O4" i="6"/>
  <c r="O3" i="6"/>
  <c r="O6" i="6"/>
  <c r="O13" i="6"/>
  <c r="K14" i="6"/>
  <c r="K4" i="6"/>
  <c r="K6" i="6"/>
  <c r="O10" i="6"/>
  <c r="O14" i="6"/>
  <c r="K15" i="6"/>
  <c r="K2" i="6"/>
  <c r="K3" i="6"/>
  <c r="K8" i="6"/>
  <c r="O12" i="6"/>
  <c r="O15" i="6"/>
  <c r="K12" i="6"/>
  <c r="K7" i="6"/>
  <c r="O5" i="6"/>
  <c r="K10" i="6"/>
  <c r="O9" i="6"/>
  <c r="T12" i="4"/>
  <c r="G7" i="4"/>
  <c r="R24" i="4"/>
  <c r="R18" i="4"/>
  <c r="R23" i="4"/>
  <c r="R19" i="4"/>
  <c r="R17" i="4"/>
  <c r="R20" i="4"/>
  <c r="G4" i="4"/>
  <c r="G8" i="4"/>
  <c r="G5" i="4"/>
  <c r="G9" i="4"/>
  <c r="T13" i="4"/>
  <c r="T9" i="4"/>
  <c r="Q9" i="4"/>
  <c r="Q7" i="4"/>
  <c r="Q6" i="4"/>
  <c r="Q13" i="4"/>
  <c r="T7" i="4"/>
  <c r="T8" i="4"/>
  <c r="Q8" i="4"/>
  <c r="T6" i="4"/>
  <c r="G8" i="2"/>
  <c r="G9" i="2"/>
  <c r="C3" i="3" s="1"/>
  <c r="J3" i="2"/>
  <c r="J5" i="2"/>
  <c r="G6" i="2"/>
  <c r="G5" i="2"/>
  <c r="G4" i="2"/>
  <c r="D5" i="2"/>
  <c r="M4" i="2" s="1"/>
  <c r="M6" i="2"/>
  <c r="M5" i="2"/>
  <c r="J4" i="2"/>
  <c r="G7" i="2"/>
  <c r="J6" i="2"/>
  <c r="G3" i="2"/>
  <c r="J8" i="2"/>
  <c r="J7" i="2"/>
  <c r="J9" i="2"/>
  <c r="J15" i="4"/>
  <c r="J28" i="4" l="1"/>
  <c r="T17" i="4"/>
  <c r="U17" i="4" s="1"/>
  <c r="H23" i="4"/>
  <c r="H25" i="4"/>
  <c r="H26" i="4"/>
  <c r="H27" i="4"/>
  <c r="H8" i="4"/>
  <c r="H28" i="4"/>
  <c r="H9" i="4"/>
  <c r="H29" i="4"/>
  <c r="H10" i="4"/>
  <c r="H30" i="4"/>
  <c r="H11" i="4"/>
  <c r="H31" i="4"/>
  <c r="H12" i="4"/>
  <c r="H32" i="4"/>
  <c r="H13" i="4"/>
  <c r="H14" i="4"/>
  <c r="H17" i="4"/>
  <c r="H20" i="4"/>
  <c r="H22" i="4"/>
  <c r="H4" i="4"/>
  <c r="H24" i="4"/>
  <c r="H5" i="4"/>
  <c r="H6" i="4"/>
  <c r="H15" i="4"/>
  <c r="H16" i="4"/>
  <c r="H18" i="4"/>
  <c r="H19" i="4"/>
  <c r="H21" i="4"/>
  <c r="J9" i="4"/>
  <c r="H7" i="4"/>
  <c r="R21" i="4"/>
  <c r="R22" i="4" s="1"/>
  <c r="J32" i="4"/>
  <c r="Q10" i="4"/>
  <c r="Q11" i="4" s="1"/>
  <c r="J29" i="4"/>
  <c r="K29" i="4" s="1"/>
  <c r="T10" i="4"/>
  <c r="T11" i="4" s="1"/>
  <c r="J6" i="4"/>
  <c r="J26" i="4"/>
  <c r="J5" i="4"/>
  <c r="J10" i="4"/>
  <c r="J13" i="4"/>
  <c r="J11" i="4"/>
  <c r="J30" i="4"/>
  <c r="N5" i="4"/>
  <c r="J31" i="4"/>
  <c r="C8" i="3"/>
  <c r="C24" i="3"/>
  <c r="C10" i="3"/>
  <c r="J22" i="4"/>
  <c r="J20" i="4"/>
  <c r="N7" i="4"/>
  <c r="J14" i="4"/>
  <c r="K15" i="4" s="1"/>
  <c r="J7" i="4"/>
  <c r="N6" i="4"/>
  <c r="J16" i="4"/>
  <c r="K16" i="4" s="1"/>
  <c r="N20" i="4"/>
  <c r="N17" i="4"/>
  <c r="N19" i="4"/>
  <c r="N21" i="4"/>
  <c r="N22" i="4"/>
  <c r="N15" i="4"/>
  <c r="N16" i="4"/>
  <c r="N18" i="4"/>
  <c r="N23" i="4"/>
  <c r="N27" i="4"/>
  <c r="N24" i="4"/>
  <c r="N13" i="4"/>
  <c r="N10" i="4"/>
  <c r="N32" i="4"/>
  <c r="N12" i="4"/>
  <c r="N31" i="4"/>
  <c r="N11" i="4"/>
  <c r="N30" i="4"/>
  <c r="N29" i="4"/>
  <c r="N9" i="4"/>
  <c r="N28" i="4"/>
  <c r="N8" i="4"/>
  <c r="N26" i="4"/>
  <c r="N25" i="4"/>
  <c r="N14" i="4"/>
  <c r="J18" i="4"/>
  <c r="J23" i="4"/>
  <c r="N4" i="4"/>
  <c r="O4" i="4" s="1"/>
  <c r="J24" i="4"/>
  <c r="J8" i="4"/>
  <c r="J4" i="4"/>
  <c r="K4" i="4" s="1"/>
  <c r="J27" i="4"/>
  <c r="K28" i="4" s="1"/>
  <c r="J25" i="4"/>
  <c r="J21" i="4"/>
  <c r="K22" i="4" s="1"/>
  <c r="J19" i="4"/>
  <c r="J17" i="4"/>
  <c r="J12" i="4"/>
  <c r="C5" i="3"/>
  <c r="C25" i="3"/>
  <c r="C14" i="3"/>
  <c r="C17" i="3"/>
  <c r="C16" i="3"/>
  <c r="C30" i="3"/>
  <c r="C15" i="3"/>
  <c r="D15" i="3" s="1"/>
  <c r="C28" i="3"/>
  <c r="C22" i="3"/>
  <c r="C13" i="3"/>
  <c r="C18" i="3"/>
  <c r="C19" i="3"/>
  <c r="C12" i="3"/>
  <c r="C9" i="3"/>
  <c r="D9" i="3" s="1"/>
  <c r="C11" i="3"/>
  <c r="C7" i="3"/>
  <c r="C29" i="3"/>
  <c r="C6" i="3"/>
  <c r="C26" i="3"/>
  <c r="C2" i="3"/>
  <c r="D2" i="3" s="1"/>
  <c r="C27" i="3"/>
  <c r="C20" i="3"/>
  <c r="C4" i="3"/>
  <c r="D4" i="3" s="1"/>
  <c r="C23" i="3"/>
  <c r="C21" i="3"/>
  <c r="D21" i="3" s="1"/>
  <c r="J10" i="2"/>
  <c r="J12" i="2" s="1"/>
  <c r="F20" i="3"/>
  <c r="F21" i="3"/>
  <c r="F2" i="3"/>
  <c r="F22" i="3"/>
  <c r="F3" i="3"/>
  <c r="F23" i="3"/>
  <c r="F4" i="3"/>
  <c r="F24" i="3"/>
  <c r="F5" i="3"/>
  <c r="F25" i="3"/>
  <c r="F6" i="3"/>
  <c r="F26" i="3"/>
  <c r="F7" i="3"/>
  <c r="F27" i="3"/>
  <c r="G28" i="3" s="1"/>
  <c r="F8" i="3"/>
  <c r="F10" i="3"/>
  <c r="F11" i="3"/>
  <c r="F12" i="3"/>
  <c r="F13" i="3"/>
  <c r="F15" i="3"/>
  <c r="F9" i="3"/>
  <c r="G10" i="3" s="1"/>
  <c r="F14" i="3"/>
  <c r="F16" i="3"/>
  <c r="F17" i="3"/>
  <c r="F18" i="3"/>
  <c r="F19" i="3"/>
  <c r="F28" i="3"/>
  <c r="F29" i="3"/>
  <c r="F30" i="3"/>
  <c r="M10" i="2"/>
  <c r="M7" i="2"/>
  <c r="M8" i="2"/>
  <c r="M9" i="2"/>
  <c r="G10" i="2"/>
  <c r="G12" i="2" s="1"/>
  <c r="M3" i="2"/>
  <c r="D24" i="3" l="1"/>
  <c r="G15" i="3"/>
  <c r="K10" i="4"/>
  <c r="G22" i="3"/>
  <c r="G16" i="3"/>
  <c r="G7" i="3"/>
  <c r="G26" i="3"/>
  <c r="G21" i="3"/>
  <c r="G11" i="3"/>
  <c r="G9" i="3"/>
  <c r="G8" i="3"/>
  <c r="G27" i="3"/>
  <c r="G14" i="3"/>
  <c r="G13" i="3"/>
  <c r="G12" i="3"/>
  <c r="G6" i="3"/>
  <c r="G30" i="3"/>
  <c r="G25" i="3"/>
  <c r="G29" i="3"/>
  <c r="G5" i="3"/>
  <c r="G20" i="3"/>
  <c r="G24" i="3"/>
  <c r="G19" i="3"/>
  <c r="G4" i="3"/>
  <c r="G18" i="3"/>
  <c r="G23" i="3"/>
  <c r="G17" i="3"/>
  <c r="G2" i="3"/>
  <c r="G3" i="3"/>
  <c r="D8" i="3"/>
  <c r="D28" i="3"/>
  <c r="D20" i="3"/>
  <c r="D18" i="3"/>
  <c r="D22" i="3"/>
  <c r="K32" i="4"/>
  <c r="K11" i="4"/>
  <c r="K26" i="4"/>
  <c r="K30" i="4"/>
  <c r="O15" i="4"/>
  <c r="K7" i="4"/>
  <c r="K6" i="4"/>
  <c r="O25" i="4"/>
  <c r="K31" i="4"/>
  <c r="O21" i="4"/>
  <c r="K14" i="4"/>
  <c r="K23" i="4"/>
  <c r="O14" i="4"/>
  <c r="O22" i="4"/>
  <c r="O6" i="4"/>
  <c r="K12" i="4"/>
  <c r="O11" i="4"/>
  <c r="O18" i="4"/>
  <c r="O16" i="4"/>
  <c r="K24" i="4"/>
  <c r="O28" i="4"/>
  <c r="O8" i="4"/>
  <c r="O24" i="4"/>
  <c r="O26" i="4"/>
  <c r="O19" i="4"/>
  <c r="O17" i="4"/>
  <c r="O20" i="4"/>
  <c r="O9" i="4"/>
  <c r="O29" i="4"/>
  <c r="O30" i="4"/>
  <c r="O31" i="4"/>
  <c r="O7" i="4"/>
  <c r="O12" i="4"/>
  <c r="O32" i="4"/>
  <c r="O10" i="4"/>
  <c r="O13" i="4"/>
  <c r="O27" i="4"/>
  <c r="O23" i="4"/>
  <c r="O5" i="4"/>
  <c r="K8" i="4"/>
  <c r="D26" i="3"/>
  <c r="D5" i="3"/>
  <c r="J11" i="2"/>
  <c r="D23" i="3"/>
  <c r="D25" i="3"/>
  <c r="D6" i="3"/>
  <c r="D29" i="3"/>
  <c r="D12" i="3"/>
  <c r="K9" i="4"/>
  <c r="K5" i="4"/>
  <c r="K27" i="4"/>
  <c r="K18" i="4"/>
  <c r="K25" i="4"/>
  <c r="K19" i="4"/>
  <c r="K13" i="4"/>
  <c r="K17" i="4"/>
  <c r="K21" i="4"/>
  <c r="K20" i="4"/>
  <c r="D19" i="3"/>
  <c r="D17" i="3"/>
  <c r="D10" i="3"/>
  <c r="D11" i="3"/>
  <c r="D3" i="3"/>
  <c r="D30" i="3"/>
  <c r="D7" i="3"/>
  <c r="D16" i="3"/>
  <c r="D13" i="3"/>
  <c r="D27" i="3"/>
  <c r="D14" i="3"/>
  <c r="I9" i="3"/>
  <c r="I29" i="3"/>
  <c r="I10" i="3"/>
  <c r="I30" i="3"/>
  <c r="I11" i="3"/>
  <c r="I12" i="3"/>
  <c r="I13" i="3"/>
  <c r="I14" i="3"/>
  <c r="I15" i="3"/>
  <c r="I16" i="3"/>
  <c r="I25" i="3"/>
  <c r="I28" i="3"/>
  <c r="I2" i="3"/>
  <c r="I6" i="3"/>
  <c r="I7" i="3"/>
  <c r="I17" i="3"/>
  <c r="I18" i="3"/>
  <c r="I20" i="3"/>
  <c r="I21" i="3"/>
  <c r="I22" i="3"/>
  <c r="I23" i="3"/>
  <c r="I26" i="3"/>
  <c r="I27" i="3"/>
  <c r="I3" i="3"/>
  <c r="I4" i="3"/>
  <c r="I5" i="3"/>
  <c r="I8" i="3"/>
  <c r="I19" i="3"/>
  <c r="I24" i="3"/>
  <c r="M11" i="2"/>
  <c r="M12" i="2"/>
  <c r="G11" i="2"/>
</calcChain>
</file>

<file path=xl/sharedStrings.xml><?xml version="1.0" encoding="utf-8"?>
<sst xmlns="http://schemas.openxmlformats.org/spreadsheetml/2006/main" count="287" uniqueCount="103">
  <si>
    <t>Year</t>
  </si>
  <si>
    <t>Winner</t>
  </si>
  <si>
    <t>Party</t>
  </si>
  <si>
    <t>%</t>
  </si>
  <si>
    <t>Margin%</t>
  </si>
  <si>
    <t>Votes</t>
  </si>
  <si>
    <t>Margin2</t>
  </si>
  <si>
    <t>Runner-up</t>
  </si>
  <si>
    <t>Party3</t>
  </si>
  <si>
    <t>Turnout</t>
  </si>
  <si>
    <t>Calvin Coolidge</t>
  </si>
  <si>
    <t>Rep.</t>
  </si>
  <si>
    <t>John W. Davis</t>
  </si>
  <si>
    <t>Dem.</t>
  </si>
  <si>
    <t>Herbert Hoover</t>
  </si>
  <si>
    <t>Al Smith</t>
  </si>
  <si>
    <t>Franklin D. Roosevelt</t>
  </si>
  <si>
    <t>Alf Landon</t>
  </si>
  <si>
    <t>Wendell Willkie</t>
  </si>
  <si>
    <t>Thomas E. Dewey</t>
  </si>
  <si>
    <t>Harry S Truman</t>
  </si>
  <si>
    <t>Dwight D. Eisenhower</t>
  </si>
  <si>
    <t>Adlai Stevenson II</t>
  </si>
  <si>
    <t>John F. Kennedy</t>
  </si>
  <si>
    <t>Richard Nixon</t>
  </si>
  <si>
    <t>Lyndon B. Johnson</t>
  </si>
  <si>
    <t>Barry Goldwater</t>
  </si>
  <si>
    <t>Hubert Humphrey</t>
  </si>
  <si>
    <t>George McGovern</t>
  </si>
  <si>
    <t>Jimmy Carter</t>
  </si>
  <si>
    <t>Gerald Ford</t>
  </si>
  <si>
    <t>Ronald Reagan</t>
  </si>
  <si>
    <t>Walter Mondale</t>
  </si>
  <si>
    <t>George H. W. Bush</t>
  </si>
  <si>
    <t>Michael Dukakis</t>
  </si>
  <si>
    <t>Bill Clinton</t>
  </si>
  <si>
    <t>Bob Dole</t>
  </si>
  <si>
    <t>George W. Bush</t>
  </si>
  <si>
    <t>Al Gore</t>
  </si>
  <si>
    <t>John Kerry</t>
  </si>
  <si>
    <t>Barack Obama</t>
  </si>
  <si>
    <t>John McCain</t>
  </si>
  <si>
    <t>Mitt Romney</t>
  </si>
  <si>
    <t>Donald Trump</t>
  </si>
  <si>
    <t>Hillary Clinton</t>
  </si>
  <si>
    <t>Joe Biden</t>
  </si>
  <si>
    <t>Kamala Harris</t>
  </si>
  <si>
    <t>Woodrow Wilson</t>
  </si>
  <si>
    <t>Theodore Roosevelt</t>
  </si>
  <si>
    <t>Prog.</t>
  </si>
  <si>
    <t>Charles Evans Hughes</t>
  </si>
  <si>
    <t>James M. Cox</t>
  </si>
  <si>
    <t>Warren G. Harding</t>
  </si>
  <si>
    <t>RU Votes</t>
  </si>
  <si>
    <t>Total Vote</t>
  </si>
  <si>
    <t>Total</t>
  </si>
  <si>
    <t>Min</t>
  </si>
  <si>
    <t>Max</t>
  </si>
  <si>
    <t>Q1</t>
  </si>
  <si>
    <t>Median</t>
  </si>
  <si>
    <t>Q3</t>
  </si>
  <si>
    <t>Dem</t>
  </si>
  <si>
    <t>Stat</t>
  </si>
  <si>
    <t>Value</t>
  </si>
  <si>
    <t>Rep</t>
  </si>
  <si>
    <t>Mean</t>
  </si>
  <si>
    <t>Std Dev</t>
  </si>
  <si>
    <t>IQR</t>
  </si>
  <si>
    <t>LF</t>
  </si>
  <si>
    <t>UF</t>
  </si>
  <si>
    <t>DZ-Score</t>
  </si>
  <si>
    <t>RZ-Score</t>
  </si>
  <si>
    <t>TZ-Score</t>
  </si>
  <si>
    <t>Votes are displayed in millions</t>
  </si>
  <si>
    <t>Population</t>
  </si>
  <si>
    <t>Dem Votes</t>
  </si>
  <si>
    <t>Rep Votes</t>
  </si>
  <si>
    <t>D% of Pop</t>
  </si>
  <si>
    <t>R% of Pop</t>
  </si>
  <si>
    <t>D</t>
  </si>
  <si>
    <t>SD</t>
  </si>
  <si>
    <t>D%Z-Score</t>
  </si>
  <si>
    <t>Z Dif</t>
  </si>
  <si>
    <t>DZ Dif</t>
  </si>
  <si>
    <t>R</t>
  </si>
  <si>
    <t>R%Z-Score</t>
  </si>
  <si>
    <t>RZ Dif</t>
  </si>
  <si>
    <t>R% of Pop2</t>
  </si>
  <si>
    <t>Column3</t>
  </si>
  <si>
    <t>Total Votes</t>
  </si>
  <si>
    <t>T% of Pop</t>
  </si>
  <si>
    <t>D%Z-Score2</t>
  </si>
  <si>
    <t>T%Z-Score</t>
  </si>
  <si>
    <t>min</t>
  </si>
  <si>
    <t>max</t>
  </si>
  <si>
    <t>iqr</t>
  </si>
  <si>
    <t>uf</t>
  </si>
  <si>
    <t>P(x&lt;a)</t>
  </si>
  <si>
    <t>P(x&gt;a)</t>
  </si>
  <si>
    <t>a</t>
  </si>
  <si>
    <t>T Probability</t>
  </si>
  <si>
    <t>D Probability</t>
  </si>
  <si>
    <t>R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</si>
</sst>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,,"/>
    <numFmt numFmtId="165" formatCode="0.0"/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2" applyFont="1"/>
    <xf numFmtId="43" fontId="0" fillId="0" borderId="0" xfId="1" applyFont="1"/>
    <xf numFmtId="0" fontId="2" fillId="2" borderId="1" xfId="0" applyFont="1" applyFill="1" applyBorder="1"/>
    <xf numFmtId="43" fontId="0" fillId="0" borderId="0" xfId="1" applyFont="1" applyFill="1"/>
    <xf numFmtId="10" fontId="0" fillId="0" borderId="0" xfId="2" applyNumberFormat="1" applyFont="1"/>
    <xf numFmtId="9" fontId="0" fillId="0" borderId="0" xfId="2" applyFont="1" applyFill="1"/>
    <xf numFmtId="0" fontId="0" fillId="3" borderId="0" xfId="0" applyFill="1"/>
    <xf numFmtId="10" fontId="0" fillId="3" borderId="0" xfId="2" applyNumberFormat="1" applyFont="1" applyFill="1"/>
    <xf numFmtId="3" fontId="0" fillId="3" borderId="0" xfId="1" applyNumberFormat="1" applyFont="1" applyFill="1"/>
    <xf numFmtId="43" fontId="0" fillId="3" borderId="0" xfId="1" applyFont="1" applyFill="1"/>
    <xf numFmtId="43" fontId="0" fillId="0" borderId="0" xfId="0" applyNumberFormat="1"/>
    <xf numFmtId="43" fontId="0" fillId="0" borderId="0" xfId="2" applyNumberFormat="1" applyFont="1" applyFill="1"/>
    <xf numFmtId="43" fontId="0" fillId="3" borderId="0" xfId="0" applyNumberFormat="1" applyFill="1"/>
    <xf numFmtId="0" fontId="0" fillId="0" borderId="0" xfId="0" applyAlignment="1">
      <alignment horizontal="center"/>
    </xf>
    <xf numFmtId="0" fontId="0" fillId="0" borderId="2" xfId="0" applyBorder="1"/>
    <xf numFmtId="43" fontId="0" fillId="0" borderId="2" xfId="1" applyFont="1" applyBorder="1"/>
    <xf numFmtId="0" fontId="0" fillId="0" borderId="2" xfId="0" applyBorder="1" applyAlignment="1">
      <alignment horizontal="center"/>
    </xf>
    <xf numFmtId="43" fontId="0" fillId="0" borderId="2" xfId="0" applyNumberFormat="1" applyBorder="1"/>
    <xf numFmtId="2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2" fontId="0" fillId="0" borderId="0" xfId="2" applyNumberFormat="1" applyFont="1"/>
    <xf numFmtId="3" fontId="0" fillId="0" borderId="0" xfId="0" applyNumberFormat="1"/>
    <xf numFmtId="0" fontId="4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5" fontId="0" fillId="0" borderId="0" xfId="0" applyNumberFormat="1"/>
    <xf numFmtId="0" fontId="0" fillId="8" borderId="6" xfId="0" applyFill="1" applyBorder="1"/>
    <xf numFmtId="0" fontId="0" fillId="0" borderId="6" xfId="0" applyBorder="1"/>
    <xf numFmtId="9" fontId="0" fillId="9" borderId="2" xfId="2" applyFont="1" applyFill="1" applyBorder="1"/>
    <xf numFmtId="10" fontId="0" fillId="9" borderId="2" xfId="2" applyNumberFormat="1" applyFont="1" applyFill="1" applyBorder="1"/>
    <xf numFmtId="164" fontId="0" fillId="6" borderId="2" xfId="0" applyNumberFormat="1" applyFill="1" applyBorder="1"/>
    <xf numFmtId="164" fontId="0" fillId="0" borderId="2" xfId="0" applyNumberFormat="1" applyBorder="1"/>
    <xf numFmtId="9" fontId="0" fillId="0" borderId="2" xfId="2" applyFont="1" applyBorder="1"/>
    <xf numFmtId="2" fontId="0" fillId="0" borderId="2" xfId="2" applyNumberFormat="1" applyFont="1" applyBorder="1"/>
    <xf numFmtId="2" fontId="0" fillId="0" borderId="2" xfId="0" applyNumberFormat="1" applyBorder="1"/>
    <xf numFmtId="164" fontId="0" fillId="0" borderId="2" xfId="1" applyNumberFormat="1" applyFont="1" applyBorder="1"/>
    <xf numFmtId="166" fontId="0" fillId="0" borderId="2" xfId="2" applyNumberFormat="1" applyFont="1" applyBorder="1"/>
    <xf numFmtId="9" fontId="0" fillId="0" borderId="0" xfId="0" applyNumberFormat="1"/>
    <xf numFmtId="10" fontId="0" fillId="8" borderId="7" xfId="2" applyNumberFormat="1" applyFont="1" applyFill="1" applyBorder="1"/>
    <xf numFmtId="10" fontId="0" fillId="0" borderId="7" xfId="2" applyNumberFormat="1" applyFont="1" applyBorder="1"/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64" formatCode="0.00,,"/>
    </dxf>
    <dxf>
      <numFmt numFmtId="164" formatCode="0.00,,"/>
    </dxf>
    <dxf>
      <numFmt numFmtId="164" formatCode="0.00,,"/>
    </dxf>
    <dxf>
      <numFmt numFmtId="164" formatCode="0.00,,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,,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,,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,,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,,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64" formatCode="0.00,,"/>
    </dxf>
    <dxf>
      <numFmt numFmtId="2" formatCode="0.00"/>
    </dxf>
    <dxf>
      <numFmt numFmtId="2" formatCode="0.00"/>
    </dxf>
    <dxf>
      <numFmt numFmtId="164" formatCode="0.00,,"/>
    </dxf>
    <dxf>
      <numFmt numFmtId="2" formatCode="0.00"/>
    </dxf>
    <dxf>
      <numFmt numFmtId="2" formatCode="0.00"/>
    </dxf>
    <dxf>
      <numFmt numFmtId="164" formatCode="0.00,,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9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 Total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 Breakdown'!$A$2:$A$30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xVal>
          <c:yVal>
            <c:numRef>
              <c:f>'DR Breakdown'!$B$2:$B$30</c:f>
              <c:numCache>
                <c:formatCode>_(* #,##0.00_);_(* \(#,##0.00\);_(* "-"??_);_(@_)</c:formatCode>
                <c:ptCount val="29"/>
                <c:pt idx="0">
                  <c:v>6296284</c:v>
                </c:pt>
                <c:pt idx="1">
                  <c:v>9126868</c:v>
                </c:pt>
                <c:pt idx="2">
                  <c:v>9139661</c:v>
                </c:pt>
                <c:pt idx="3">
                  <c:v>8386242</c:v>
                </c:pt>
                <c:pt idx="4">
                  <c:v>15015464</c:v>
                </c:pt>
                <c:pt idx="5">
                  <c:v>22821277</c:v>
                </c:pt>
                <c:pt idx="6">
                  <c:v>27752648</c:v>
                </c:pt>
                <c:pt idx="7">
                  <c:v>27313945</c:v>
                </c:pt>
                <c:pt idx="8">
                  <c:v>25612916</c:v>
                </c:pt>
                <c:pt idx="9">
                  <c:v>24179347</c:v>
                </c:pt>
                <c:pt idx="10">
                  <c:v>27375090</c:v>
                </c:pt>
                <c:pt idx="11">
                  <c:v>26028028</c:v>
                </c:pt>
                <c:pt idx="12">
                  <c:v>34220984</c:v>
                </c:pt>
                <c:pt idx="13">
                  <c:v>43129040</c:v>
                </c:pt>
                <c:pt idx="14">
                  <c:v>31271839</c:v>
                </c:pt>
                <c:pt idx="15">
                  <c:v>29173222</c:v>
                </c:pt>
                <c:pt idx="16">
                  <c:v>40831881</c:v>
                </c:pt>
                <c:pt idx="17">
                  <c:v>35481115</c:v>
                </c:pt>
                <c:pt idx="18">
                  <c:v>37577352</c:v>
                </c:pt>
                <c:pt idx="19">
                  <c:v>41809476</c:v>
                </c:pt>
                <c:pt idx="20">
                  <c:v>44909889</c:v>
                </c:pt>
                <c:pt idx="21">
                  <c:v>47401185</c:v>
                </c:pt>
                <c:pt idx="22">
                  <c:v>50999897</c:v>
                </c:pt>
                <c:pt idx="23">
                  <c:v>59028444</c:v>
                </c:pt>
                <c:pt idx="24">
                  <c:v>69498516</c:v>
                </c:pt>
                <c:pt idx="25">
                  <c:v>65915795</c:v>
                </c:pt>
                <c:pt idx="26">
                  <c:v>65853514</c:v>
                </c:pt>
                <c:pt idx="27">
                  <c:v>81283501</c:v>
                </c:pt>
                <c:pt idx="28">
                  <c:v>71239855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34-48F2-8A37-3E871008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288159"/>
        <c:axId val="641289119"/>
      </c:scatterChart>
      <c:valAx>
        <c:axId val="64128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89119"/>
        <c:crosses val="autoZero"/>
        <c:crossBetween val="midCat"/>
      </c:valAx>
      <c:valAx>
        <c:axId val="6412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8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 Total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'DR Breakdown'!$A$2:$A$30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xVal>
          <c:yVal>
            <c:numRef>
              <c:f>'DR Breakdown'!$C$2:$C$30</c:f>
              <c:numCache>
                <c:formatCode>_(* #,##0.00_);_(* \(#,##0.00\);_(* "-"??_);_(@_)</c:formatCode>
                <c:ptCount val="29"/>
                <c:pt idx="0">
                  <c:v>4122721</c:v>
                </c:pt>
                <c:pt idx="1">
                  <c:v>8548728</c:v>
                </c:pt>
                <c:pt idx="2">
                  <c:v>16144093</c:v>
                </c:pt>
                <c:pt idx="3">
                  <c:v>15723789</c:v>
                </c:pt>
                <c:pt idx="4">
                  <c:v>21427123</c:v>
                </c:pt>
                <c:pt idx="5">
                  <c:v>15761254</c:v>
                </c:pt>
                <c:pt idx="6">
                  <c:v>16681862</c:v>
                </c:pt>
                <c:pt idx="7">
                  <c:v>22347744</c:v>
                </c:pt>
                <c:pt idx="8">
                  <c:v>22017929</c:v>
                </c:pt>
                <c:pt idx="9">
                  <c:v>21991292</c:v>
                </c:pt>
                <c:pt idx="10">
                  <c:v>34075529</c:v>
                </c:pt>
                <c:pt idx="11">
                  <c:v>35579180</c:v>
                </c:pt>
                <c:pt idx="12">
                  <c:v>34108157</c:v>
                </c:pt>
                <c:pt idx="13">
                  <c:v>27175754</c:v>
                </c:pt>
                <c:pt idx="14">
                  <c:v>31783783</c:v>
                </c:pt>
                <c:pt idx="15">
                  <c:v>47168710</c:v>
                </c:pt>
                <c:pt idx="16">
                  <c:v>39148634</c:v>
                </c:pt>
                <c:pt idx="17">
                  <c:v>43903230</c:v>
                </c:pt>
                <c:pt idx="18">
                  <c:v>54455472</c:v>
                </c:pt>
                <c:pt idx="19">
                  <c:v>48886597</c:v>
                </c:pt>
                <c:pt idx="20">
                  <c:v>39104550</c:v>
                </c:pt>
                <c:pt idx="21">
                  <c:v>39197469</c:v>
                </c:pt>
                <c:pt idx="22">
                  <c:v>50456002</c:v>
                </c:pt>
                <c:pt idx="23">
                  <c:v>62040610</c:v>
                </c:pt>
                <c:pt idx="24">
                  <c:v>59948323</c:v>
                </c:pt>
                <c:pt idx="25">
                  <c:v>60933504</c:v>
                </c:pt>
                <c:pt idx="26">
                  <c:v>62984828</c:v>
                </c:pt>
                <c:pt idx="27">
                  <c:v>74223975</c:v>
                </c:pt>
                <c:pt idx="28">
                  <c:v>74834590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A-40BE-8272-3D7686623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155535"/>
        <c:axId val="1431154575"/>
      </c:scatterChart>
      <c:valAx>
        <c:axId val="14311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54575"/>
        <c:crosses val="autoZero"/>
        <c:crossBetween val="midCat"/>
      </c:valAx>
      <c:valAx>
        <c:axId val="14311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Side</a:t>
            </a:r>
            <a:r>
              <a:rPr lang="en-US" baseline="0"/>
              <a:t> by Side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 Breakdown'!$A$2:$A$30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xVal>
          <c:yVal>
            <c:numRef>
              <c:f>'DR Breakdown'!$B$2:$B$30</c:f>
              <c:numCache>
                <c:formatCode>_(* #,##0.00_);_(* \(#,##0.00\);_(* "-"??_);_(@_)</c:formatCode>
                <c:ptCount val="29"/>
                <c:pt idx="0">
                  <c:v>6296284</c:v>
                </c:pt>
                <c:pt idx="1">
                  <c:v>9126868</c:v>
                </c:pt>
                <c:pt idx="2">
                  <c:v>9139661</c:v>
                </c:pt>
                <c:pt idx="3">
                  <c:v>8386242</c:v>
                </c:pt>
                <c:pt idx="4">
                  <c:v>15015464</c:v>
                </c:pt>
                <c:pt idx="5">
                  <c:v>22821277</c:v>
                </c:pt>
                <c:pt idx="6">
                  <c:v>27752648</c:v>
                </c:pt>
                <c:pt idx="7">
                  <c:v>27313945</c:v>
                </c:pt>
                <c:pt idx="8">
                  <c:v>25612916</c:v>
                </c:pt>
                <c:pt idx="9">
                  <c:v>24179347</c:v>
                </c:pt>
                <c:pt idx="10">
                  <c:v>27375090</c:v>
                </c:pt>
                <c:pt idx="11">
                  <c:v>26028028</c:v>
                </c:pt>
                <c:pt idx="12">
                  <c:v>34220984</c:v>
                </c:pt>
                <c:pt idx="13">
                  <c:v>43129040</c:v>
                </c:pt>
                <c:pt idx="14">
                  <c:v>31271839</c:v>
                </c:pt>
                <c:pt idx="15">
                  <c:v>29173222</c:v>
                </c:pt>
                <c:pt idx="16">
                  <c:v>40831881</c:v>
                </c:pt>
                <c:pt idx="17">
                  <c:v>35481115</c:v>
                </c:pt>
                <c:pt idx="18">
                  <c:v>37577352</c:v>
                </c:pt>
                <c:pt idx="19">
                  <c:v>41809476</c:v>
                </c:pt>
                <c:pt idx="20">
                  <c:v>44909889</c:v>
                </c:pt>
                <c:pt idx="21">
                  <c:v>47401185</c:v>
                </c:pt>
                <c:pt idx="22">
                  <c:v>50999897</c:v>
                </c:pt>
                <c:pt idx="23">
                  <c:v>59028444</c:v>
                </c:pt>
                <c:pt idx="24">
                  <c:v>69498516</c:v>
                </c:pt>
                <c:pt idx="25">
                  <c:v>65915795</c:v>
                </c:pt>
                <c:pt idx="26">
                  <c:v>65853514</c:v>
                </c:pt>
                <c:pt idx="27">
                  <c:v>81283501</c:v>
                </c:pt>
                <c:pt idx="28">
                  <c:v>71239855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C-48F0-8C26-A849CC693B15}"/>
            </c:ext>
          </c:extLst>
        </c:ser>
        <c:ser>
          <c:idx val="1"/>
          <c:order val="1"/>
          <c:tx>
            <c:v>Rep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'DR Breakdown'!$A$2:$A$30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xVal>
          <c:yVal>
            <c:numRef>
              <c:f>'DR Breakdown'!$C$2:$C$30</c:f>
              <c:numCache>
                <c:formatCode>_(* #,##0.00_);_(* \(#,##0.00\);_(* "-"??_);_(@_)</c:formatCode>
                <c:ptCount val="29"/>
                <c:pt idx="0">
                  <c:v>4122721</c:v>
                </c:pt>
                <c:pt idx="1">
                  <c:v>8548728</c:v>
                </c:pt>
                <c:pt idx="2">
                  <c:v>16144093</c:v>
                </c:pt>
                <c:pt idx="3">
                  <c:v>15723789</c:v>
                </c:pt>
                <c:pt idx="4">
                  <c:v>21427123</c:v>
                </c:pt>
                <c:pt idx="5">
                  <c:v>15761254</c:v>
                </c:pt>
                <c:pt idx="6">
                  <c:v>16681862</c:v>
                </c:pt>
                <c:pt idx="7">
                  <c:v>22347744</c:v>
                </c:pt>
                <c:pt idx="8">
                  <c:v>22017929</c:v>
                </c:pt>
                <c:pt idx="9">
                  <c:v>21991292</c:v>
                </c:pt>
                <c:pt idx="10">
                  <c:v>34075529</c:v>
                </c:pt>
                <c:pt idx="11">
                  <c:v>35579180</c:v>
                </c:pt>
                <c:pt idx="12">
                  <c:v>34108157</c:v>
                </c:pt>
                <c:pt idx="13">
                  <c:v>27175754</c:v>
                </c:pt>
                <c:pt idx="14">
                  <c:v>31783783</c:v>
                </c:pt>
                <c:pt idx="15">
                  <c:v>47168710</c:v>
                </c:pt>
                <c:pt idx="16">
                  <c:v>39148634</c:v>
                </c:pt>
                <c:pt idx="17">
                  <c:v>43903230</c:v>
                </c:pt>
                <c:pt idx="18">
                  <c:v>54455472</c:v>
                </c:pt>
                <c:pt idx="19">
                  <c:v>48886597</c:v>
                </c:pt>
                <c:pt idx="20">
                  <c:v>39104550</c:v>
                </c:pt>
                <c:pt idx="21">
                  <c:v>39197469</c:v>
                </c:pt>
                <c:pt idx="22">
                  <c:v>50456002</c:v>
                </c:pt>
                <c:pt idx="23">
                  <c:v>62040610</c:v>
                </c:pt>
                <c:pt idx="24">
                  <c:v>59948323</c:v>
                </c:pt>
                <c:pt idx="25">
                  <c:v>60933504</c:v>
                </c:pt>
                <c:pt idx="26">
                  <c:v>62984828</c:v>
                </c:pt>
                <c:pt idx="27">
                  <c:v>74223975</c:v>
                </c:pt>
                <c:pt idx="28">
                  <c:v>74834590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C-48F0-8C26-A849CC69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432287"/>
        <c:axId val="1050438047"/>
      </c:scatterChart>
      <c:valAx>
        <c:axId val="105043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38047"/>
        <c:crosses val="autoZero"/>
        <c:crossBetween val="midCat"/>
      </c:valAx>
      <c:valAx>
        <c:axId val="10504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3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</a:t>
            </a:r>
            <a:r>
              <a:rPr lang="en-US" baseline="0"/>
              <a:t> ZScores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 Scores'!$A$2:$A$30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xVal>
          <c:yVal>
            <c:numRef>
              <c:f>'Z Scores'!$C$2:$C$30</c:f>
              <c:numCache>
                <c:formatCode>0.00</c:formatCode>
                <c:ptCount val="29"/>
                <c:pt idx="0">
                  <c:v>-1.5197857241563821</c:v>
                </c:pt>
                <c:pt idx="1">
                  <c:v>-1.3805633234550339</c:v>
                </c:pt>
                <c:pt idx="2">
                  <c:v>-1.3799340991775799</c:v>
                </c:pt>
                <c:pt idx="3">
                  <c:v>-1.416991046406141</c:v>
                </c:pt>
                <c:pt idx="4">
                  <c:v>-1.0909324656955195</c:v>
                </c:pt>
                <c:pt idx="5">
                  <c:v>-0.707003204000479</c:v>
                </c:pt>
                <c:pt idx="6">
                  <c:v>-0.46445350069931957</c:v>
                </c:pt>
                <c:pt idx="7">
                  <c:v>-0.48603112738514964</c:v>
                </c:pt>
                <c:pt idx="8">
                  <c:v>-0.56969631486681915</c:v>
                </c:pt>
                <c:pt idx="9">
                  <c:v>-0.64020647028034205</c:v>
                </c:pt>
                <c:pt idx="10">
                  <c:v>-0.48302370782406828</c:v>
                </c:pt>
                <c:pt idx="11">
                  <c:v>-0.54927901257162559</c:v>
                </c:pt>
                <c:pt idx="12">
                  <c:v>-0.14630810509793238</c:v>
                </c:pt>
                <c:pt idx="13">
                  <c:v>0.29183502787464527</c:v>
                </c:pt>
                <c:pt idx="14">
                  <c:v>-0.29136193388958032</c:v>
                </c:pt>
                <c:pt idx="15">
                  <c:v>-0.39458250494228947</c:v>
                </c:pt>
                <c:pt idx="16">
                  <c:v>0.17884915966769266</c:v>
                </c:pt>
                <c:pt idx="17">
                  <c:v>-8.432850547531355E-2</c:v>
                </c:pt>
                <c:pt idx="18">
                  <c:v>1.8775005170896707E-2</c:v>
                </c:pt>
                <c:pt idx="19">
                  <c:v>0.22693221348755269</c:v>
                </c:pt>
                <c:pt idx="20">
                  <c:v>0.37942616562805431</c:v>
                </c:pt>
                <c:pt idx="21">
                  <c:v>0.50196067086713803</c:v>
                </c:pt>
                <c:pt idx="22">
                  <c:v>0.67896348162023723</c:v>
                </c:pt>
                <c:pt idx="23">
                  <c:v>1.073847925072051</c:v>
                </c:pt>
                <c:pt idx="24">
                  <c:v>1.588818884900824</c:v>
                </c:pt>
                <c:pt idx="25">
                  <c:v>1.412602592198281</c:v>
                </c:pt>
                <c:pt idx="26">
                  <c:v>1.4095392984263664</c:v>
                </c:pt>
                <c:pt idx="27">
                  <c:v>2.1684638994735694</c:v>
                </c:pt>
                <c:pt idx="28">
                  <c:v>1.6744667215362623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A-4862-BD77-BD955C0CF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699167"/>
        <c:axId val="1513703007"/>
      </c:scatterChart>
      <c:valAx>
        <c:axId val="151369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03007"/>
        <c:crosses val="autoZero"/>
        <c:crossBetween val="midCat"/>
      </c:valAx>
      <c:valAx>
        <c:axId val="15137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9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 ZScores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'Z Scores'!$A$2:$A$30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xVal>
          <c:yVal>
            <c:numRef>
              <c:f>'Z Scores'!$F$2:$F$30</c:f>
              <c:numCache>
                <c:formatCode>0.00</c:formatCode>
                <c:ptCount val="29"/>
                <c:pt idx="0">
                  <c:v>-1.7028042831175871</c:v>
                </c:pt>
                <c:pt idx="1">
                  <c:v>-1.4763658815605676</c:v>
                </c:pt>
                <c:pt idx="2">
                  <c:v>-1.0877803438869642</c:v>
                </c:pt>
                <c:pt idx="3">
                  <c:v>-1.109283465307247</c:v>
                </c:pt>
                <c:pt idx="4">
                  <c:v>-0.81749589368664111</c:v>
                </c:pt>
                <c:pt idx="5">
                  <c:v>-1.1073667230349611</c:v>
                </c:pt>
                <c:pt idx="6">
                  <c:v>-1.0602676100013384</c:v>
                </c:pt>
                <c:pt idx="7">
                  <c:v>-0.77039611556161225</c:v>
                </c:pt>
                <c:pt idx="8">
                  <c:v>-0.78726974034565089</c:v>
                </c:pt>
                <c:pt idx="9">
                  <c:v>-0.7886325126373066</c:v>
                </c:pt>
                <c:pt idx="10">
                  <c:v>-0.17039234484810203</c:v>
                </c:pt>
                <c:pt idx="11">
                  <c:v>-9.3464240364847934E-2</c:v>
                </c:pt>
                <c:pt idx="12">
                  <c:v>-0.16872306773986376</c:v>
                </c:pt>
                <c:pt idx="13">
                  <c:v>-0.52339088780184906</c:v>
                </c:pt>
                <c:pt idx="14">
                  <c:v>-0.28764008101632171</c:v>
                </c:pt>
                <c:pt idx="15">
                  <c:v>0.49946628324189857</c:v>
                </c:pt>
                <c:pt idx="16">
                  <c:v>8.9152158161252409E-2</c:v>
                </c:pt>
                <c:pt idx="17">
                  <c:v>0.33240146126660203</c:v>
                </c:pt>
                <c:pt idx="18">
                  <c:v>0.87226342066315232</c:v>
                </c:pt>
                <c:pt idx="19">
                  <c:v>0.58735488945864966</c:v>
                </c:pt>
                <c:pt idx="20">
                  <c:v>8.6896782041368359E-2</c:v>
                </c:pt>
                <c:pt idx="21">
                  <c:v>9.165059960972663E-2</c:v>
                </c:pt>
                <c:pt idx="22">
                  <c:v>0.66764702627533212</c:v>
                </c:pt>
                <c:pt idx="23">
                  <c:v>1.2603257360434508</c:v>
                </c:pt>
                <c:pt idx="24">
                  <c:v>1.153282497323193</c:v>
                </c:pt>
                <c:pt idx="25">
                  <c:v>1.203685221694019</c:v>
                </c:pt>
                <c:pt idx="26">
                  <c:v>1.3086327573927994</c:v>
                </c:pt>
                <c:pt idx="27">
                  <c:v>1.8836373792888723</c:v>
                </c:pt>
                <c:pt idx="28">
                  <c:v>1.9148769784505408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AF-450B-BBF8-2AEFFC03B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369631"/>
        <c:axId val="1428370111"/>
      </c:scatterChart>
      <c:valAx>
        <c:axId val="142836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70111"/>
        <c:crosses val="autoZero"/>
        <c:crossBetween val="midCat"/>
      </c:valAx>
      <c:valAx>
        <c:axId val="14283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Probability of Observed Vote Percentages Relative to Historical Averages (1972-2024)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1972</c:v>
                </c:pt>
                <c:pt idx="1">
                  <c:v>1976</c:v>
                </c:pt>
                <c:pt idx="2">
                  <c:v>1980</c:v>
                </c:pt>
                <c:pt idx="3">
                  <c:v>1984</c:v>
                </c:pt>
                <c:pt idx="4">
                  <c:v>1988</c:v>
                </c:pt>
                <c:pt idx="5">
                  <c:v>1992</c:v>
                </c:pt>
                <c:pt idx="6">
                  <c:v>1996</c:v>
                </c:pt>
                <c:pt idx="7">
                  <c:v>2000</c:v>
                </c:pt>
                <c:pt idx="8">
                  <c:v>2004</c:v>
                </c:pt>
                <c:pt idx="9">
                  <c:v>2008</c:v>
                </c:pt>
                <c:pt idx="10">
                  <c:v>2012</c:v>
                </c:pt>
                <c:pt idx="11">
                  <c:v>2016</c:v>
                </c:pt>
                <c:pt idx="12">
                  <c:v>2020</c:v>
                </c:pt>
                <c:pt idx="13">
                  <c:v>2024</c:v>
                </c:pt>
              </c:numCache>
            </c:numRef>
          </c:cat>
          <c:val>
            <c:numRef>
              <c:f>Sheet1!$B$2:$B$15</c:f>
              <c:numCache>
                <c:formatCode>0.00%</c:formatCode>
                <c:ptCount val="14"/>
                <c:pt idx="0">
                  <c:v>0.95543488083114458</c:v>
                </c:pt>
                <c:pt idx="1">
                  <c:v>0.51317318828977831</c:v>
                </c:pt>
                <c:pt idx="2">
                  <c:v>0.8659174896793258</c:v>
                </c:pt>
                <c:pt idx="3">
                  <c:v>0.84061904610896354</c:v>
                </c:pt>
                <c:pt idx="4">
                  <c:v>0.7239766909398262</c:v>
                </c:pt>
                <c:pt idx="5">
                  <c:v>0.67501721919185154</c:v>
                </c:pt>
                <c:pt idx="6">
                  <c:v>0.66404568712376411</c:v>
                </c:pt>
                <c:pt idx="7">
                  <c:v>0.60184537514042757</c:v>
                </c:pt>
                <c:pt idx="8">
                  <c:v>0.32219621892795258</c:v>
                </c:pt>
                <c:pt idx="9">
                  <c:v>8.1939066521313553E-2</c:v>
                </c:pt>
                <c:pt idx="10">
                  <c:v>0.22569712421870203</c:v>
                </c:pt>
                <c:pt idx="11">
                  <c:v>0.29395576877141871</c:v>
                </c:pt>
                <c:pt idx="12">
                  <c:v>2.4628977228496107E-2</c:v>
                </c:pt>
                <c:pt idx="13">
                  <c:v>0.32546373361202297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3-4C0E-8095-D7D82EEE4CC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1972</c:v>
                </c:pt>
                <c:pt idx="1">
                  <c:v>1976</c:v>
                </c:pt>
                <c:pt idx="2">
                  <c:v>1980</c:v>
                </c:pt>
                <c:pt idx="3">
                  <c:v>1984</c:v>
                </c:pt>
                <c:pt idx="4">
                  <c:v>1988</c:v>
                </c:pt>
                <c:pt idx="5">
                  <c:v>1992</c:v>
                </c:pt>
                <c:pt idx="6">
                  <c:v>1996</c:v>
                </c:pt>
                <c:pt idx="7">
                  <c:v>2000</c:v>
                </c:pt>
                <c:pt idx="8">
                  <c:v>2004</c:v>
                </c:pt>
                <c:pt idx="9">
                  <c:v>2008</c:v>
                </c:pt>
                <c:pt idx="10">
                  <c:v>2012</c:v>
                </c:pt>
                <c:pt idx="11">
                  <c:v>2016</c:v>
                </c:pt>
                <c:pt idx="12">
                  <c:v>2020</c:v>
                </c:pt>
                <c:pt idx="13">
                  <c:v>2024</c:v>
                </c:pt>
              </c:numCache>
            </c:numRef>
          </c:cat>
          <c:val>
            <c:numRef>
              <c:f>Sheet1!$C$2:$C$15</c:f>
              <c:numCache>
                <c:formatCode>0.00%</c:formatCode>
                <c:ptCount val="14"/>
                <c:pt idx="0">
                  <c:v>0.12953982222191485</c:v>
                </c:pt>
                <c:pt idx="1">
                  <c:v>0.73879794023941625</c:v>
                </c:pt>
                <c:pt idx="2">
                  <c:v>0.54161458457658262</c:v>
                </c:pt>
                <c:pt idx="3">
                  <c:v>8.5148237536071814E-2</c:v>
                </c:pt>
                <c:pt idx="4">
                  <c:v>0.43691866817137337</c:v>
                </c:pt>
                <c:pt idx="5">
                  <c:v>0.95547475255812642</c:v>
                </c:pt>
                <c:pt idx="6">
                  <c:v>0.97570889028626384</c:v>
                </c:pt>
                <c:pt idx="7">
                  <c:v>0.74797077411032564</c:v>
                </c:pt>
                <c:pt idx="8">
                  <c:v>0.26566838284572381</c:v>
                </c:pt>
                <c:pt idx="9">
                  <c:v>0.48046655317199172</c:v>
                </c:pt>
                <c:pt idx="10">
                  <c:v>0.52696204154680837</c:v>
                </c:pt>
                <c:pt idx="11">
                  <c:v>0.51331855098950663</c:v>
                </c:pt>
                <c:pt idx="12">
                  <c:v>0.13658006504645548</c:v>
                </c:pt>
                <c:pt idx="13">
                  <c:v>0.22464862207048009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3-4C0E-8095-D7D82EEE4CC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1972</c:v>
                </c:pt>
                <c:pt idx="1">
                  <c:v>1976</c:v>
                </c:pt>
                <c:pt idx="2">
                  <c:v>1980</c:v>
                </c:pt>
                <c:pt idx="3">
                  <c:v>1984</c:v>
                </c:pt>
                <c:pt idx="4">
                  <c:v>1988</c:v>
                </c:pt>
                <c:pt idx="5">
                  <c:v>1992</c:v>
                </c:pt>
                <c:pt idx="6">
                  <c:v>1996</c:v>
                </c:pt>
                <c:pt idx="7">
                  <c:v>2000</c:v>
                </c:pt>
                <c:pt idx="8">
                  <c:v>2004</c:v>
                </c:pt>
                <c:pt idx="9">
                  <c:v>2008</c:v>
                </c:pt>
                <c:pt idx="10">
                  <c:v>2012</c:v>
                </c:pt>
                <c:pt idx="11">
                  <c:v>2016</c:v>
                </c:pt>
                <c:pt idx="12">
                  <c:v>2020</c:v>
                </c:pt>
                <c:pt idx="13">
                  <c:v>2024</c:v>
                </c:pt>
              </c:numCache>
            </c:numRef>
          </c:cat>
          <c:val>
            <c:numRef>
              <c:f>Sheet1!$D$2:$D$15</c:f>
              <c:numCache>
                <c:formatCode>0.00%</c:formatCode>
                <c:ptCount val="14"/>
                <c:pt idx="0">
                  <c:v>0.69497015542585816</c:v>
                </c:pt>
                <c:pt idx="1">
                  <c:v>0.66790102114301608</c:v>
                </c:pt>
                <c:pt idx="2">
                  <c:v>0.80502034741251016</c:v>
                </c:pt>
                <c:pt idx="3">
                  <c:v>0.44511487181015574</c:v>
                </c:pt>
                <c:pt idx="4">
                  <c:v>0.63057759880320297</c:v>
                </c:pt>
                <c:pt idx="5">
                  <c:v>0.91812879806845071</c:v>
                </c:pt>
                <c:pt idx="6">
                  <c:v>0.93829370510271004</c:v>
                </c:pt>
                <c:pt idx="7">
                  <c:v>0.72937707232597859</c:v>
                </c:pt>
                <c:pt idx="8">
                  <c:v>0.24066689053435786</c:v>
                </c:pt>
                <c:pt idx="9">
                  <c:v>0.15814467049557468</c:v>
                </c:pt>
                <c:pt idx="10">
                  <c:v>0.31637307479417331</c:v>
                </c:pt>
                <c:pt idx="11">
                  <c:v>0.36318746866275031</c:v>
                </c:pt>
                <c:pt idx="12">
                  <c:v>1.9685088640412074E-2</c:v>
                </c:pt>
                <c:pt idx="13">
                  <c:v>0.17133058259366618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D3-4C0E-8095-D7D82EEE4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588209359"/>
        <c:axId val="588205039"/>
      </c:barChart>
      <c:catAx>
        <c:axId val="5882093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05039"/>
        <c:crosses val="autoZero"/>
        <c:auto val="1"/>
        <c:lblAlgn val="ctr"/>
        <c:lblOffset val="100"/>
        <c:noMultiLvlLbl val="0"/>
      </c:catAx>
      <c:valAx>
        <c:axId val="588205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58820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z-score per Election - Dem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'Votes and Population'!$A$4:$A$32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cat>
          <c:val>
            <c:numRef>
              <c:f>'Votes and Population'!$K$4:$K$32</c:f>
              <c:numCache>
                <c:formatCode>0.00</c:formatCode>
                <c:ptCount val="29"/>
                <c:pt idx="0">
                  <c:v>0</c:v>
                </c:pt>
                <c:pt idx="1">
                  <c:v>6.7458294589928025E-2</c:v>
                </c:pt>
                <c:pt idx="2">
                  <c:v>-0.17029723150199638</c:v>
                </c:pt>
                <c:pt idx="3">
                  <c:v>0.56429562905556729</c:v>
                </c:pt>
                <c:pt idx="4">
                  <c:v>-0.69372854184054999</c:v>
                </c:pt>
                <c:pt idx="5">
                  <c:v>1.8037416921884457</c:v>
                </c:pt>
                <c:pt idx="6">
                  <c:v>1.0514341254867097</c:v>
                </c:pt>
                <c:pt idx="7">
                  <c:v>-0.30980280098197577</c:v>
                </c:pt>
                <c:pt idx="8">
                  <c:v>-0.67158828902135581</c:v>
                </c:pt>
                <c:pt idx="9">
                  <c:v>-0.62487315289367229</c:v>
                </c:pt>
                <c:pt idx="10">
                  <c:v>0.27439753605167527</c:v>
                </c:pt>
                <c:pt idx="11">
                  <c:v>-0.608998361910563</c:v>
                </c:pt>
                <c:pt idx="12">
                  <c:v>1.0941892795984831</c:v>
                </c:pt>
                <c:pt idx="13">
                  <c:v>1.0954064997974517</c:v>
                </c:pt>
                <c:pt idx="14">
                  <c:v>-2.1368237786634001</c:v>
                </c:pt>
                <c:pt idx="15">
                  <c:v>-0.52123742733541567</c:v>
                </c:pt>
                <c:pt idx="16">
                  <c:v>1.4962224466716814</c:v>
                </c:pt>
                <c:pt idx="17">
                  <c:v>-0.96423010130179909</c:v>
                </c:pt>
                <c:pt idx="18">
                  <c:v>9.8995121872096914E-2</c:v>
                </c:pt>
                <c:pt idx="19">
                  <c:v>0.36109915753533495</c:v>
                </c:pt>
                <c:pt idx="20">
                  <c:v>0.12645457885205855</c:v>
                </c:pt>
                <c:pt idx="21">
                  <c:v>2.7178345515689956E-2</c:v>
                </c:pt>
                <c:pt idx="22">
                  <c:v>0.14846053331858669</c:v>
                </c:pt>
                <c:pt idx="23">
                  <c:v>0.64597183801745262</c:v>
                </c:pt>
                <c:pt idx="24">
                  <c:v>0.83525709559030636</c:v>
                </c:pt>
                <c:pt idx="25">
                  <c:v>-0.57359283503783864</c:v>
                </c:pt>
                <c:pt idx="26">
                  <c:v>-0.1895908127922491</c:v>
                </c:pt>
                <c:pt idx="27">
                  <c:v>1.2785714159131689</c:v>
                </c:pt>
                <c:pt idx="28">
                  <c:v>-1.0507947457280764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9-4389-96ED-3C1C97F116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29658623"/>
        <c:axId val="1429659583"/>
      </c:barChart>
      <c:catAx>
        <c:axId val="142965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59583"/>
        <c:crosses val="autoZero"/>
        <c:auto val="1"/>
        <c:lblAlgn val="ctr"/>
        <c:lblOffset val="100"/>
        <c:noMultiLvlLbl val="0"/>
      </c:catAx>
      <c:valAx>
        <c:axId val="142965958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296586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</a:t>
            </a:r>
            <a:r>
              <a:rPr lang="en-US" baseline="0"/>
              <a:t> Dem </a:t>
            </a:r>
            <a:r>
              <a:rPr lang="en-US"/>
              <a:t>Z-Scores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'Votes and Population'!$A$4:$A$32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cat>
          <c:val>
            <c:numRef>
              <c:f>'Votes and Population'!$J$4:$J$32</c:f>
              <c:numCache>
                <c:formatCode>0.00</c:formatCode>
                <c:ptCount val="29"/>
                <c:pt idx="0">
                  <c:v>-1.4267359083714586</c:v>
                </c:pt>
                <c:pt idx="1">
                  <c:v>-1.3592776137815306</c:v>
                </c:pt>
                <c:pt idx="2">
                  <c:v>-1.5295748452835269</c:v>
                </c:pt>
                <c:pt idx="3">
                  <c:v>-0.96527921622795965</c:v>
                </c:pt>
                <c:pt idx="4">
                  <c:v>-1.6590077580685096</c:v>
                </c:pt>
                <c:pt idx="5">
                  <c:v>0.1447339341199361</c:v>
                </c:pt>
                <c:pt idx="6">
                  <c:v>1.1961680596066457</c:v>
                </c:pt>
                <c:pt idx="7">
                  <c:v>0.88636525862466997</c:v>
                </c:pt>
                <c:pt idx="8">
                  <c:v>0.21477696960331419</c:v>
                </c:pt>
                <c:pt idx="9">
                  <c:v>-0.41009618329035807</c:v>
                </c:pt>
                <c:pt idx="10">
                  <c:v>-0.13569864723868277</c:v>
                </c:pt>
                <c:pt idx="11">
                  <c:v>-0.74469700914924575</c:v>
                </c:pt>
                <c:pt idx="12">
                  <c:v>0.34949227044923731</c:v>
                </c:pt>
                <c:pt idx="13">
                  <c:v>1.4448987702466891</c:v>
                </c:pt>
                <c:pt idx="14">
                  <c:v>-0.69192500841671079</c:v>
                </c:pt>
                <c:pt idx="15">
                  <c:v>-1.2131624357521265</c:v>
                </c:pt>
                <c:pt idx="16">
                  <c:v>0.28306001091955502</c:v>
                </c:pt>
                <c:pt idx="17">
                  <c:v>-0.68117009038224408</c:v>
                </c:pt>
                <c:pt idx="18">
                  <c:v>-0.58217496851014716</c:v>
                </c:pt>
                <c:pt idx="19">
                  <c:v>-0.22107581097481221</c:v>
                </c:pt>
                <c:pt idx="20">
                  <c:v>-9.4621232122753668E-2</c:v>
                </c:pt>
                <c:pt idx="21">
                  <c:v>-6.7442886607063712E-2</c:v>
                </c:pt>
                <c:pt idx="22">
                  <c:v>8.1017646711522978E-2</c:v>
                </c:pt>
                <c:pt idx="23">
                  <c:v>0.72698948472897562</c:v>
                </c:pt>
                <c:pt idx="24">
                  <c:v>1.562246580319282</c:v>
                </c:pt>
                <c:pt idx="25">
                  <c:v>0.98865374528144334</c:v>
                </c:pt>
                <c:pt idx="26">
                  <c:v>0.79906293248919424</c:v>
                </c:pt>
                <c:pt idx="27">
                  <c:v>2.0776343484023632</c:v>
                </c:pt>
                <c:pt idx="28">
                  <c:v>1.0268396026742868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A-42E2-AC8D-13CBE3E60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29185775"/>
        <c:axId val="1029186735"/>
      </c:barChart>
      <c:catAx>
        <c:axId val="102918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86735"/>
        <c:crosses val="autoZero"/>
        <c:auto val="1"/>
        <c:lblAlgn val="ctr"/>
        <c:lblOffset val="100"/>
        <c:noMultiLvlLbl val="0"/>
      </c:catAx>
      <c:valAx>
        <c:axId val="1029186735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029185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Z Scores 1972-2024 - both parties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'1972-2024'!$A$2:$A$15</c:f>
              <c:numCache>
                <c:formatCode>General</c:formatCode>
                <c:ptCount val="14"/>
                <c:pt idx="0">
                  <c:v>1972</c:v>
                </c:pt>
                <c:pt idx="1">
                  <c:v>1976</c:v>
                </c:pt>
                <c:pt idx="2">
                  <c:v>1980</c:v>
                </c:pt>
                <c:pt idx="3">
                  <c:v>1984</c:v>
                </c:pt>
                <c:pt idx="4">
                  <c:v>1988</c:v>
                </c:pt>
                <c:pt idx="5">
                  <c:v>1992</c:v>
                </c:pt>
                <c:pt idx="6">
                  <c:v>1996</c:v>
                </c:pt>
                <c:pt idx="7">
                  <c:v>2000</c:v>
                </c:pt>
                <c:pt idx="8">
                  <c:v>2004</c:v>
                </c:pt>
                <c:pt idx="9">
                  <c:v>2008</c:v>
                </c:pt>
                <c:pt idx="10">
                  <c:v>2012</c:v>
                </c:pt>
                <c:pt idx="11">
                  <c:v>2016</c:v>
                </c:pt>
                <c:pt idx="12">
                  <c:v>2020</c:v>
                </c:pt>
                <c:pt idx="13">
                  <c:v>2024</c:v>
                </c:pt>
              </c:numCache>
            </c:numRef>
          </c:cat>
          <c:val>
            <c:numRef>
              <c:f>'1972-2024'!$J$2:$J$15</c:f>
              <c:numCache>
                <c:formatCode>0.00</c:formatCode>
                <c:ptCount val="14"/>
                <c:pt idx="0">
                  <c:v>-1.7000036533133995</c:v>
                </c:pt>
                <c:pt idx="1">
                  <c:v>-3.302628907784512E-2</c:v>
                </c:pt>
                <c:pt idx="2">
                  <c:v>-1.1072982038991832</c:v>
                </c:pt>
                <c:pt idx="3">
                  <c:v>-0.99700536094817982</c:v>
                </c:pt>
                <c:pt idx="4">
                  <c:v>-0.59469611662762778</c:v>
                </c:pt>
                <c:pt idx="5">
                  <c:v>-0.45381003313166401</c:v>
                </c:pt>
                <c:pt idx="6">
                  <c:v>-0.42352998562080779</c:v>
                </c:pt>
                <c:pt idx="7">
                  <c:v>-0.25812653971278948</c:v>
                </c:pt>
                <c:pt idx="8">
                  <c:v>0.46156620002928317</c:v>
                </c:pt>
                <c:pt idx="9">
                  <c:v>1.3921461915027704</c:v>
                </c:pt>
                <c:pt idx="10">
                  <c:v>0.75309263738536669</c:v>
                </c:pt>
                <c:pt idx="11">
                  <c:v>0.54186495924517253</c:v>
                </c:pt>
                <c:pt idx="12">
                  <c:v>1.9663520825516048</c:v>
                </c:pt>
                <c:pt idx="13">
                  <c:v>0.45247411161731826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1-41A1-B9A4-21E0F8300B3C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'1972-2024'!$A$2:$A$15</c:f>
              <c:numCache>
                <c:formatCode>General</c:formatCode>
                <c:ptCount val="14"/>
                <c:pt idx="0">
                  <c:v>1972</c:v>
                </c:pt>
                <c:pt idx="1">
                  <c:v>1976</c:v>
                </c:pt>
                <c:pt idx="2">
                  <c:v>1980</c:v>
                </c:pt>
                <c:pt idx="3">
                  <c:v>1984</c:v>
                </c:pt>
                <c:pt idx="4">
                  <c:v>1988</c:v>
                </c:pt>
                <c:pt idx="5">
                  <c:v>1992</c:v>
                </c:pt>
                <c:pt idx="6">
                  <c:v>1996</c:v>
                </c:pt>
                <c:pt idx="7">
                  <c:v>2000</c:v>
                </c:pt>
                <c:pt idx="8">
                  <c:v>2004</c:v>
                </c:pt>
                <c:pt idx="9">
                  <c:v>2008</c:v>
                </c:pt>
                <c:pt idx="10">
                  <c:v>2012</c:v>
                </c:pt>
                <c:pt idx="11">
                  <c:v>2016</c:v>
                </c:pt>
                <c:pt idx="12">
                  <c:v>2020</c:v>
                </c:pt>
                <c:pt idx="13">
                  <c:v>2024</c:v>
                </c:pt>
              </c:numCache>
            </c:numRef>
          </c:cat>
          <c:val>
            <c:numRef>
              <c:f>'1972-2024'!$N$2:$N$15</c:f>
              <c:numCache>
                <c:formatCode>0.00</c:formatCode>
                <c:ptCount val="14"/>
                <c:pt idx="0">
                  <c:v>1.1285691176681554</c:v>
                </c:pt>
                <c:pt idx="1">
                  <c:v>-0.63964392397009828</c:v>
                </c:pt>
                <c:pt idx="2">
                  <c:v>-0.1045021894724204</c:v>
                </c:pt>
                <c:pt idx="3">
                  <c:v>1.3712518013717399</c:v>
                </c:pt>
                <c:pt idx="4">
                  <c:v>0.15878618137629058</c:v>
                </c:pt>
                <c:pt idx="5">
                  <c:v>-1.7004277547716558</c:v>
                </c:pt>
                <c:pt idx="6">
                  <c:v>-1.9722399646764583</c:v>
                </c:pt>
                <c:pt idx="7">
                  <c:v>-0.66811771955967836</c:v>
                </c:pt>
                <c:pt idx="8">
                  <c:v>0.62596672701203726</c:v>
                </c:pt>
                <c:pt idx="9">
                  <c:v>4.8982670442587209E-2</c:v>
                </c:pt>
                <c:pt idx="10">
                  <c:v>-6.7635347086884789E-2</c:v>
                </c:pt>
                <c:pt idx="11">
                  <c:v>-3.3390860303956819E-2</c:v>
                </c:pt>
                <c:pt idx="12">
                  <c:v>1.0958141151507519</c:v>
                </c:pt>
                <c:pt idx="13">
                  <c:v>0.75658714681960693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1-41A1-B9A4-21E0F8300B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2696607"/>
        <c:axId val="1032697567"/>
      </c:barChart>
      <c:catAx>
        <c:axId val="103269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97567"/>
        <c:crosses val="autoZero"/>
        <c:auto val="1"/>
        <c:lblAlgn val="ctr"/>
        <c:lblOffset val="100"/>
        <c:noMultiLvlLbl val="0"/>
      </c:catAx>
      <c:valAx>
        <c:axId val="1032697567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032696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Change IN z-score per Election -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'Votes and Population'!$A$4:$A$32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cat>
          <c:val>
            <c:numRef>
              <c:f>'Votes and Population'!$O$4:$O$32</c:f>
              <c:numCache>
                <c:formatCode>0.00</c:formatCode>
                <c:ptCount val="29"/>
                <c:pt idx="0">
                  <c:v>0</c:v>
                </c:pt>
                <c:pt idx="1">
                  <c:v>0.96341677212951837</c:v>
                </c:pt>
                <c:pt idx="2">
                  <c:v>2.4949067793607664</c:v>
                </c:pt>
                <c:pt idx="3">
                  <c:v>1.1805416448438919</c:v>
                </c:pt>
                <c:pt idx="4">
                  <c:v>-2.3988702995450328</c:v>
                </c:pt>
                <c:pt idx="5">
                  <c:v>-1.2646624165752904</c:v>
                </c:pt>
                <c:pt idx="6">
                  <c:v>9.872862422600881E-2</c:v>
                </c:pt>
                <c:pt idx="7">
                  <c:v>0.95357780369516987</c:v>
                </c:pt>
                <c:pt idx="8">
                  <c:v>-0.24674622599135049</c:v>
                </c:pt>
                <c:pt idx="9">
                  <c:v>-0.22350784298870874</c:v>
                </c:pt>
                <c:pt idx="10">
                  <c:v>1.6265971234547858</c:v>
                </c:pt>
                <c:pt idx="11">
                  <c:v>-0.13815216358978832</c:v>
                </c:pt>
                <c:pt idx="12">
                  <c:v>-0.53639378992366005</c:v>
                </c:pt>
                <c:pt idx="13">
                  <c:v>-1.1570532019433428</c:v>
                </c:pt>
                <c:pt idx="14">
                  <c:v>0.4105444417215165</c:v>
                </c:pt>
                <c:pt idx="15">
                  <c:v>1.6280048531995894</c:v>
                </c:pt>
                <c:pt idx="16">
                  <c:v>-1.1081476274076687</c:v>
                </c:pt>
                <c:pt idx="17">
                  <c:v>0.33537590179800714</c:v>
                </c:pt>
                <c:pt idx="18">
                  <c:v>0.92486213204048984</c:v>
                </c:pt>
                <c:pt idx="19">
                  <c:v>-0.7598580422563137</c:v>
                </c:pt>
                <c:pt idx="20">
                  <c:v>-1.1651783261799507</c:v>
                </c:pt>
                <c:pt idx="21">
                  <c:v>-0.17034602076420169</c:v>
                </c:pt>
                <c:pt idx="22">
                  <c:v>0.81729969056035112</c:v>
                </c:pt>
                <c:pt idx="23">
                  <c:v>0.81100895387864247</c:v>
                </c:pt>
                <c:pt idx="24">
                  <c:v>-0.36159868651748983</c:v>
                </c:pt>
                <c:pt idx="25">
                  <c:v>-7.3085073119095678E-2</c:v>
                </c:pt>
                <c:pt idx="26">
                  <c:v>2.1461184759239194E-2</c:v>
                </c:pt>
                <c:pt idx="27">
                  <c:v>0.70767819541004728</c:v>
                </c:pt>
                <c:pt idx="28">
                  <c:v>-4.7928758812083694E-2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2-4D5D-979E-A4C7A32948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66040527"/>
        <c:axId val="766041487"/>
      </c:barChart>
      <c:catAx>
        <c:axId val="76604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41487"/>
        <c:crosses val="autoZero"/>
        <c:auto val="1"/>
        <c:lblAlgn val="ctr"/>
        <c:lblOffset val="100"/>
        <c:noMultiLvlLbl val="0"/>
      </c:catAx>
      <c:valAx>
        <c:axId val="766041487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766040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Z-scores -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'Votes and Population'!$A$4:$A$32</c:f>
              <c:numCache>
                <c:formatCode>General</c:formatCode>
                <c:ptCount val="29"/>
                <c:pt idx="0">
                  <c:v>1912</c:v>
                </c:pt>
                <c:pt idx="1">
                  <c:v>1916</c:v>
                </c:pt>
                <c:pt idx="2">
                  <c:v>1920</c:v>
                </c:pt>
                <c:pt idx="3">
                  <c:v>1924</c:v>
                </c:pt>
                <c:pt idx="4">
                  <c:v>1928</c:v>
                </c:pt>
                <c:pt idx="5">
                  <c:v>1932</c:v>
                </c:pt>
                <c:pt idx="6">
                  <c:v>1936</c:v>
                </c:pt>
                <c:pt idx="7">
                  <c:v>1940</c:v>
                </c:pt>
                <c:pt idx="8">
                  <c:v>1944</c:v>
                </c:pt>
                <c:pt idx="9">
                  <c:v>1948</c:v>
                </c:pt>
                <c:pt idx="10">
                  <c:v>1952</c:v>
                </c:pt>
                <c:pt idx="11">
                  <c:v>1956</c:v>
                </c:pt>
                <c:pt idx="12">
                  <c:v>1960</c:v>
                </c:pt>
                <c:pt idx="13">
                  <c:v>1964</c:v>
                </c:pt>
                <c:pt idx="14">
                  <c:v>1968</c:v>
                </c:pt>
                <c:pt idx="15">
                  <c:v>1972</c:v>
                </c:pt>
                <c:pt idx="16">
                  <c:v>1976</c:v>
                </c:pt>
                <c:pt idx="17">
                  <c:v>1980</c:v>
                </c:pt>
                <c:pt idx="18">
                  <c:v>1984</c:v>
                </c:pt>
                <c:pt idx="19">
                  <c:v>1988</c:v>
                </c:pt>
                <c:pt idx="20">
                  <c:v>1992</c:v>
                </c:pt>
                <c:pt idx="21">
                  <c:v>1996</c:v>
                </c:pt>
                <c:pt idx="22">
                  <c:v>2000</c:v>
                </c:pt>
                <c:pt idx="23">
                  <c:v>2004</c:v>
                </c:pt>
                <c:pt idx="24">
                  <c:v>2008</c:v>
                </c:pt>
                <c:pt idx="25">
                  <c:v>2012</c:v>
                </c:pt>
                <c:pt idx="26">
                  <c:v>2016</c:v>
                </c:pt>
                <c:pt idx="27">
                  <c:v>2020</c:v>
                </c:pt>
                <c:pt idx="28">
                  <c:v>2024</c:v>
                </c:pt>
              </c:numCache>
            </c:numRef>
          </c:cat>
          <c:val>
            <c:numRef>
              <c:f>'Votes and Population'!$N$4:$N$32</c:f>
              <c:numCache>
                <c:formatCode>0.00</c:formatCode>
                <c:ptCount val="29"/>
                <c:pt idx="0">
                  <c:v>-2.3553885620159565</c:v>
                </c:pt>
                <c:pt idx="1">
                  <c:v>-1.3919717898864381</c:v>
                </c:pt>
                <c:pt idx="2">
                  <c:v>1.1029349894743281</c:v>
                </c:pt>
                <c:pt idx="3">
                  <c:v>2.28347663431822</c:v>
                </c:pt>
                <c:pt idx="4">
                  <c:v>-0.11539366522681262</c:v>
                </c:pt>
                <c:pt idx="5">
                  <c:v>-1.380056081802103</c:v>
                </c:pt>
                <c:pt idx="6">
                  <c:v>-1.2813274575760942</c:v>
                </c:pt>
                <c:pt idx="7">
                  <c:v>-0.32774965388092442</c:v>
                </c:pt>
                <c:pt idx="8">
                  <c:v>-0.57449587987227491</c:v>
                </c:pt>
                <c:pt idx="9">
                  <c:v>-0.79800372286098364</c:v>
                </c:pt>
                <c:pt idx="10">
                  <c:v>0.82859340059380215</c:v>
                </c:pt>
                <c:pt idx="11">
                  <c:v>0.69044123700401383</c:v>
                </c:pt>
                <c:pt idx="12">
                  <c:v>0.15404744708035378</c:v>
                </c:pt>
                <c:pt idx="13">
                  <c:v>-1.0030057548629892</c:v>
                </c:pt>
                <c:pt idx="14">
                  <c:v>-0.59246131314147266</c:v>
                </c:pt>
                <c:pt idx="15">
                  <c:v>1.0355435400581168</c:v>
                </c:pt>
                <c:pt idx="16">
                  <c:v>-7.260408734955201E-2</c:v>
                </c:pt>
                <c:pt idx="17">
                  <c:v>0.2627718144484551</c:v>
                </c:pt>
                <c:pt idx="18">
                  <c:v>1.1876339464889449</c:v>
                </c:pt>
                <c:pt idx="19">
                  <c:v>0.42777590423263118</c:v>
                </c:pt>
                <c:pt idx="20">
                  <c:v>-0.73740242194731942</c:v>
                </c:pt>
                <c:pt idx="21">
                  <c:v>-0.90774844271152111</c:v>
                </c:pt>
                <c:pt idx="22">
                  <c:v>-9.0448752151170014E-2</c:v>
                </c:pt>
                <c:pt idx="23">
                  <c:v>0.72056020172747248</c:v>
                </c:pt>
                <c:pt idx="24">
                  <c:v>0.35896151520998265</c:v>
                </c:pt>
                <c:pt idx="25">
                  <c:v>0.28587644209088697</c:v>
                </c:pt>
                <c:pt idx="26">
                  <c:v>0.30733762685012617</c:v>
                </c:pt>
                <c:pt idx="27">
                  <c:v>1.0150158222601735</c:v>
                </c:pt>
                <c:pt idx="28">
                  <c:v>0.96708706344808981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C-4E2D-A800-DEA3411DE3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44282143"/>
        <c:axId val="1444273503"/>
      </c:barChart>
      <c:catAx>
        <c:axId val="144428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273503"/>
        <c:crosses val="autoZero"/>
        <c:auto val="1"/>
        <c:lblAlgn val="ctr"/>
        <c:lblOffset val="100"/>
        <c:noMultiLvlLbl val="0"/>
      </c:catAx>
      <c:valAx>
        <c:axId val="1444273503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444282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Change in Z Score per Election - Rep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 in Z Score per Election - Rep</a:t>
          </a:r>
        </a:p>
      </cx:txPr>
    </cx:title>
    <cx:plotArea>
      <cx:plotAreaRegion>
        <cx:series layoutId="waterfall" uniqueId="{50DC02BB-E134-4D68-B0C3-AB88223C361A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Change in Z Score - Dem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 in Z Score - Dem</a:t>
          </a:r>
        </a:p>
      </cx:txPr>
    </cx:title>
    <cx:plotArea>
      <cx:plotAreaRegion>
        <cx:series layoutId="waterfall" uniqueId="{F5491C1C-CC02-4306-9320-D2903041B0F2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400"/>
            </a:pPr>
            <a:r>
              <a:rPr lang="en-US" sz="1400" b="0" i="0" baseline="0">
                <a:effectLst/>
              </a:rPr>
              <a:t>Change in Z Score - Rep</a:t>
            </a:r>
            <a:endParaRPr lang="en-US" sz="1400">
              <a:effectLst/>
            </a:endParaRPr>
          </a:p>
        </cx:rich>
      </cx:tx>
    </cx:title>
    <cx:plotArea>
      <cx:plotAreaRegion>
        <cx:series layoutId="waterfall" uniqueId="{580107C0-8794-4F5B-95C6-1EF6B1AD185A}">
          <cx:dataLabels pos="outEnd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  <cx:data id="1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Change in  Z Score Per Election -Dem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 in  Z Score Per Election -Dem</a:t>
          </a:r>
        </a:p>
      </cx:txPr>
    </cx:title>
    <cx:plotArea>
      <cx:plotAreaRegion>
        <cx:series layoutId="waterfall" uniqueId="{BC28AAE4-C7EC-4B24-B6F9-4CE4BC67FCBA}" formatIdx="0"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0-AAAF-4F2B-AB2F-ED4089AB51C9}" formatIdx="1">
          <cx:tx>
            <cx:txData>
              <cx:f/>
              <cx:v>Series 2</cx:v>
            </cx:txData>
          </cx:tx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title pos="t" align="ctr" overlay="0">
      <cx:tx>
        <cx:txData>
          <cx:v>Change in Z Score per Election - Rep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 in Z Score per Election - Rep</a:t>
          </a:r>
        </a:p>
      </cx:txPr>
    </cx:title>
    <cx:plotArea>
      <cx:plotAreaRegion>
        <cx:series layoutId="waterfall" uniqueId="{50DC02BB-E134-4D68-B0C3-AB88223C361A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6" Type="http://schemas.openxmlformats.org/officeDocument/2006/relationships/image" Target="../media/image2.png"/><Relationship Id="rId5" Type="http://schemas.openxmlformats.org/officeDocument/2006/relationships/customXml" Target="../ink/ink2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microsoft.com/office/2014/relationships/chartEx" Target="../charts/chartEx4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microsoft.com/office/2014/relationships/chartEx" Target="../charts/chartEx5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41274</xdr:colOff>
      <xdr:row>12</xdr:row>
      <xdr:rowOff>152400</xdr:rowOff>
    </xdr:from>
    <xdr:to>
      <xdr:col>10</xdr:col>
      <xdr:colOff>565149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25273-33A7-54C3-0AF0-3D9EEC53A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15874</xdr:colOff>
      <xdr:row>12</xdr:row>
      <xdr:rowOff>152400</xdr:rowOff>
    </xdr:from>
    <xdr:to>
      <xdr:col>19</xdr:col>
      <xdr:colOff>12699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CCDF1-4A44-73F4-32F8-E1560EEE6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31</xdr:row>
      <xdr:rowOff>0</xdr:rowOff>
    </xdr:from>
    <xdr:to>
      <xdr:col>4</xdr:col>
      <xdr:colOff>12700</xdr:colOff>
      <xdr:row>33</xdr:row>
      <xdr:rowOff>177800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F575924-54DA-A147-E339-272FBCCA653E}"/>
            </a:ext>
          </a:extLst>
        </xdr:cNvPr>
        <xdr:cNvSpPr txBox="1"/>
      </xdr:nvSpPr>
      <xdr:spPr>
        <a:xfrm>
          <a:off x="6350" y="5740400"/>
          <a:ext cx="3581400" cy="546100"/>
        </a:xfrm>
        <a:prstGeom prst="rect">
          <a:avLst/>
        </a:prstGeom>
        <a:solidFill>
          <a:srgbClr val="FF9FA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This total is outside the range set by the Upper Fence and represents</a:t>
          </a:r>
          <a:r>
            <a:rPr lang="en-US" sz="1100" kern="1200" baseline="0"/>
            <a:t> a statistical outlier. </a:t>
          </a:r>
          <a:endParaRPr lang="en-US" sz="1100" kern="1200"/>
        </a:p>
      </xdr:txBody>
    </xdr:sp>
    <xdr:clientData/>
  </xdr:twoCellAnchor>
  <xdr:twoCellAnchor>
    <xdr:from>
      <xdr:col>4</xdr:col>
      <xdr:colOff>44450</xdr:colOff>
      <xdr:row>32</xdr:row>
      <xdr:rowOff>38100</xdr:rowOff>
    </xdr:from>
    <xdr:to>
      <xdr:col>19</xdr:col>
      <xdr:colOff>12700</xdr:colOff>
      <xdr:row>61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D6D9CB-9AB2-089A-1B54-10F31F0A4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73024</xdr:colOff>
      <xdr:row>1</xdr:row>
      <xdr:rowOff>38100</xdr:rowOff>
    </xdr:from>
    <xdr:to>
      <xdr:col>17</xdr:col>
      <xdr:colOff>266699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70A42-04FD-46F2-D6FE-2F08DEABC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53974</xdr:colOff>
      <xdr:row>17</xdr:row>
      <xdr:rowOff>158750</xdr:rowOff>
    </xdr:from>
    <xdr:to>
      <xdr:col>17</xdr:col>
      <xdr:colOff>266699</xdr:colOff>
      <xdr:row>33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7D65B-6829-202E-6109-8A656B3BA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577850</xdr:colOff>
      <xdr:row>1</xdr:row>
      <xdr:rowOff>19050</xdr:rowOff>
    </xdr:from>
    <xdr:to>
      <xdr:col>20</xdr:col>
      <xdr:colOff>571500</xdr:colOff>
      <xdr:row>10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51E73F-5011-2A18-CD02-F466BA1EEE83}"/>
            </a:ext>
          </a:extLst>
        </xdr:cNvPr>
        <xdr:cNvSpPr txBox="1"/>
      </xdr:nvSpPr>
      <xdr:spPr>
        <a:xfrm>
          <a:off x="10763250" y="203200"/>
          <a:ext cx="182245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Z Scores represent how many standard</a:t>
          </a:r>
          <a:r>
            <a:rPr lang="en-US" sz="1100" kern="1200" baseline="0"/>
            <a:t> deviations the total vote for each party is from the mean. A higher or lower z -score means a significant deviation from the mean in either a positive or negative direction. </a:t>
          </a:r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33</xdr:row>
      <xdr:rowOff>31750</xdr:rowOff>
    </xdr:from>
    <xdr:to>
      <xdr:col>9</xdr:col>
      <xdr:colOff>0</xdr:colOff>
      <xdr:row>36</xdr:row>
      <xdr:rowOff>95250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8EC319C-1B32-6A24-87E9-7CC27EB4BF9F}"/>
            </a:ext>
          </a:extLst>
        </xdr:cNvPr>
        <xdr:cNvSpPr txBox="1"/>
      </xdr:nvSpPr>
      <xdr:spPr>
        <a:xfrm>
          <a:off x="57150" y="5740400"/>
          <a:ext cx="3606800" cy="6159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data adjusted to reflect lack of women in the voting population</a:t>
          </a:r>
          <a:r>
            <a:rPr lang="en-US"/>
            <a:t> </a:t>
          </a:r>
          <a:endParaRPr lang="en-US" sz="1100" kern="1200"/>
        </a:p>
      </xdr:txBody>
    </xdr:sp>
    <xdr:clientData/>
  </xdr:twoCellAnchor>
  <xdr:twoCellAnchor>
    <xdr:from>
      <xdr:col>0</xdr:col>
      <xdr:colOff>107950</xdr:colOff>
      <xdr:row>37</xdr:row>
      <xdr:rowOff>31750</xdr:rowOff>
    </xdr:from>
    <xdr:to>
      <xdr:col>19</xdr:col>
      <xdr:colOff>298450</xdr:colOff>
      <xdr:row>65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25C5E05-F2A9-A1DE-5DE2-D1087D674D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50" y="6845300"/>
              <a:ext cx="15087600" cy="528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387350</xdr:colOff>
      <xdr:row>0</xdr:row>
      <xdr:rowOff>0</xdr:rowOff>
    </xdr:from>
    <xdr:to>
      <xdr:col>21</xdr:col>
      <xdr:colOff>184150</xdr:colOff>
      <xdr:row>9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7D9959-E5F2-8AF9-5AC2-52C62B21EE95}"/>
            </a:ext>
          </a:extLst>
        </xdr:cNvPr>
        <xdr:cNvSpPr/>
      </xdr:nvSpPr>
      <xdr:spPr>
        <a:xfrm>
          <a:off x="7886700" y="0"/>
          <a:ext cx="3600450" cy="17081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21</xdr:col>
      <xdr:colOff>457200</xdr:colOff>
      <xdr:row>0</xdr:row>
      <xdr:rowOff>139700</xdr:rowOff>
    </xdr:from>
    <xdr:to>
      <xdr:col>24</xdr:col>
      <xdr:colOff>12700</xdr:colOff>
      <xdr:row>3</xdr:row>
      <xdr:rowOff>120650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094CD9-B6CD-AB33-B940-1D4C90A71BCE}"/>
            </a:ext>
          </a:extLst>
        </xdr:cNvPr>
        <xdr:cNvSpPr txBox="1"/>
      </xdr:nvSpPr>
      <xdr:spPr>
        <a:xfrm>
          <a:off x="11760200" y="139700"/>
          <a:ext cx="13843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Stats</a:t>
          </a:r>
          <a:r>
            <a:rPr lang="en-US" sz="1100" kern="1200" baseline="0"/>
            <a:t> Summaries for Votes only</a:t>
          </a:r>
        </a:p>
      </xdr:txBody>
    </xdr:sp>
    <xdr:clientData/>
  </xdr:twoCellAnchor>
  <xdr:twoCellAnchor>
    <xdr:from>
      <xdr:col>15</xdr:col>
      <xdr:colOff>387350</xdr:colOff>
      <xdr:row>11</xdr:row>
      <xdr:rowOff>0</xdr:rowOff>
    </xdr:from>
    <xdr:to>
      <xdr:col>21</xdr:col>
      <xdr:colOff>184150</xdr:colOff>
      <xdr:row>20</xdr:row>
      <xdr:rowOff>50800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A2E23C3-5F84-4FEE-A043-670AC110D5F0}"/>
            </a:ext>
          </a:extLst>
        </xdr:cNvPr>
        <xdr:cNvSpPr/>
      </xdr:nvSpPr>
      <xdr:spPr>
        <a:xfrm>
          <a:off x="7886700" y="0"/>
          <a:ext cx="3600450" cy="17081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24</xdr:col>
      <xdr:colOff>165100</xdr:colOff>
      <xdr:row>14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94E189-5393-45C1-8062-C745D1592070}"/>
            </a:ext>
          </a:extLst>
        </xdr:cNvPr>
        <xdr:cNvSpPr txBox="1"/>
      </xdr:nvSpPr>
      <xdr:spPr>
        <a:xfrm>
          <a:off x="11912600" y="2025650"/>
          <a:ext cx="13843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Stats</a:t>
          </a:r>
          <a:r>
            <a:rPr lang="en-US" sz="1100" kern="1200" baseline="0"/>
            <a:t> Summaries for Votes adjusted for population</a:t>
          </a:r>
        </a:p>
      </xdr:txBody>
    </xdr:sp>
    <xdr:clientData/>
  </xdr:twoCellAnchor>
  <xdr:twoCellAnchor>
    <xdr:from>
      <xdr:col>0</xdr:col>
      <xdr:colOff>0</xdr:colOff>
      <xdr:row>15</xdr:row>
      <xdr:rowOff>57150</xdr:rowOff>
    </xdr:from>
    <xdr:to>
      <xdr:col>9</xdr:col>
      <xdr:colOff>755650</xdr:colOff>
      <xdr:row>30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3BBA5E9-70DB-5D84-B035-D55E05E785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19400"/>
              <a:ext cx="782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30</xdr:row>
      <xdr:rowOff>6350</xdr:rowOff>
    </xdr:from>
    <xdr:to>
      <xdr:col>9</xdr:col>
      <xdr:colOff>755650</xdr:colOff>
      <xdr:row>44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46BB237-D817-871F-BF49-AEE11AB5C2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530850"/>
              <a:ext cx="782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391320</xdr:colOff>
      <xdr:row>32</xdr:row>
      <xdr:rowOff>112080</xdr:rowOff>
    </xdr:from>
    <xdr:to>
      <xdr:col>0</xdr:col>
      <xdr:colOff>421200</xdr:colOff>
      <xdr:row>32</xdr:row>
      <xdr:rowOff>163560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B0644F6-294E-4A81-176E-488D768B733F}"/>
                </a:ext>
              </a:extLst>
            </xdr14:cNvPr>
            <xdr14:cNvContentPartPr/>
          </xdr14:nvContentPartPr>
          <xdr14:nvPr macro=""/>
          <xdr14:xfrm>
            <a:off x="391320" y="6004880"/>
            <a:ext cx="29880" cy="514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B0644F6-294E-4A81-176E-488D768B73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5200" y="5998760"/>
              <a:ext cx="42120" cy="6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12480</xdr:colOff>
      <xdr:row>44</xdr:row>
      <xdr:rowOff>157320</xdr:rowOff>
    </xdr:from>
    <xdr:to>
      <xdr:col>1</xdr:col>
      <xdr:colOff>287520</xdr:colOff>
      <xdr:row>46</xdr:row>
      <xdr:rowOff>47500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193D976-FB91-D7B8-9F6B-6D5E72C24256}"/>
                </a:ext>
              </a:extLst>
            </xdr14:cNvPr>
            <xdr14:cNvContentPartPr/>
          </xdr14:nvContentPartPr>
          <xdr14:nvPr macro=""/>
          <xdr14:xfrm>
            <a:off x="622080" y="8259920"/>
            <a:ext cx="275040" cy="2584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193D976-FB91-D7B8-9F6B-6D5E72C2425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15960" y="8253800"/>
              <a:ext cx="287280" cy="270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0</xdr:row>
      <xdr:rowOff>69850</xdr:rowOff>
    </xdr:from>
    <xdr:to>
      <xdr:col>19</xdr:col>
      <xdr:colOff>323850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2DBF8-1543-0DC2-4C1D-85B9492A5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558800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177E29-9F0D-4FD4-ACAC-0FCB9DCB4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19</xdr:col>
      <xdr:colOff>558800</xdr:colOff>
      <xdr:row>60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98610B3-9F7B-4885-BE7D-AC27AE9B3C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0350"/>
              <a:ext cx="12141200" cy="585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374650</xdr:colOff>
      <xdr:row>33</xdr:row>
      <xdr:rowOff>101600</xdr:rowOff>
    </xdr:from>
    <xdr:to>
      <xdr:col>4</xdr:col>
      <xdr:colOff>374650</xdr:colOff>
      <xdr:row>60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377621-592F-CD59-7B8F-AC8463B6FB0C}"/>
            </a:ext>
          </a:extLst>
        </xdr:cNvPr>
        <xdr:cNvSpPr/>
      </xdr:nvSpPr>
      <xdr:spPr>
        <a:xfrm>
          <a:off x="374650" y="6178550"/>
          <a:ext cx="2438400" cy="4997450"/>
        </a:xfrm>
        <a:prstGeom prst="rect">
          <a:avLst/>
        </a:prstGeom>
        <a:solidFill>
          <a:schemeClr val="accent1">
            <a:alpha val="1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393700</xdr:colOff>
      <xdr:row>31</xdr:row>
      <xdr:rowOff>63500</xdr:rowOff>
    </xdr:from>
    <xdr:to>
      <xdr:col>4</xdr:col>
      <xdr:colOff>374650</xdr:colOff>
      <xdr:row>33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89F059-D09A-DCE8-59C9-6A02E46E5493}"/>
            </a:ext>
          </a:extLst>
        </xdr:cNvPr>
        <xdr:cNvSpPr txBox="1"/>
      </xdr:nvSpPr>
      <xdr:spPr>
        <a:xfrm>
          <a:off x="393700" y="5772150"/>
          <a:ext cx="24193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kern="1200">
              <a:latin typeface="+mj-lt"/>
            </a:rPr>
            <a:t>Woman's</a:t>
          </a:r>
          <a:r>
            <a:rPr lang="en-US" sz="1100" b="1" kern="1200" baseline="0">
              <a:latin typeface="+mj-lt"/>
            </a:rPr>
            <a:t> Suffrage Movements</a:t>
          </a:r>
          <a:endParaRPr lang="en-US" sz="1100" b="1" kern="1200">
            <a:latin typeface="+mj-lt"/>
          </a:endParaRPr>
        </a:p>
      </xdr:txBody>
    </xdr:sp>
    <xdr:clientData/>
  </xdr:twoCellAnchor>
  <xdr:twoCellAnchor>
    <xdr:from>
      <xdr:col>8</xdr:col>
      <xdr:colOff>298450</xdr:colOff>
      <xdr:row>35</xdr:row>
      <xdr:rowOff>107950</xdr:rowOff>
    </xdr:from>
    <xdr:to>
      <xdr:col>11</xdr:col>
      <xdr:colOff>88900</xdr:colOff>
      <xdr:row>61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A8068EE-AFB8-4169-AC7E-7D5C573BCD52}"/>
            </a:ext>
          </a:extLst>
        </xdr:cNvPr>
        <xdr:cNvSpPr/>
      </xdr:nvSpPr>
      <xdr:spPr>
        <a:xfrm>
          <a:off x="5175250" y="6553200"/>
          <a:ext cx="1619250" cy="4686300"/>
        </a:xfrm>
        <a:prstGeom prst="rect">
          <a:avLst/>
        </a:prstGeom>
        <a:solidFill>
          <a:schemeClr val="accent1">
            <a:alpha val="1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311150</xdr:colOff>
      <xdr:row>33</xdr:row>
      <xdr:rowOff>44450</xdr:rowOff>
    </xdr:from>
    <xdr:to>
      <xdr:col>11</xdr:col>
      <xdr:colOff>196850</xdr:colOff>
      <xdr:row>35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D52BF9-9682-4D38-B0A6-6A3BF584FD34}"/>
            </a:ext>
          </a:extLst>
        </xdr:cNvPr>
        <xdr:cNvSpPr txBox="1"/>
      </xdr:nvSpPr>
      <xdr:spPr>
        <a:xfrm>
          <a:off x="5187950" y="6121400"/>
          <a:ext cx="17145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kern="1200">
              <a:latin typeface="+mj-lt"/>
            </a:rPr>
            <a:t>Civile Rights</a:t>
          </a:r>
          <a:r>
            <a:rPr lang="en-US" sz="1100" b="1" kern="1200" baseline="0">
              <a:latin typeface="+mj-lt"/>
            </a:rPr>
            <a:t> Movements</a:t>
          </a:r>
          <a:endParaRPr lang="en-US" sz="1100" b="1" kern="1200">
            <a:latin typeface="+mj-lt"/>
          </a:endParaRPr>
        </a:p>
      </xdr:txBody>
    </xdr:sp>
    <xdr:clientData/>
  </xdr:twoCellAnchor>
  <xdr:twoCellAnchor>
    <xdr:from>
      <xdr:col>0</xdr:col>
      <xdr:colOff>0</xdr:colOff>
      <xdr:row>62</xdr:row>
      <xdr:rowOff>25400</xdr:rowOff>
    </xdr:from>
    <xdr:to>
      <xdr:col>19</xdr:col>
      <xdr:colOff>590550</xdr:colOff>
      <xdr:row>95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D69BDD-3852-48A4-8400-0663C02A1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</xdr:colOff>
      <xdr:row>96</xdr:row>
      <xdr:rowOff>12700</xdr:rowOff>
    </xdr:from>
    <xdr:to>
      <xdr:col>19</xdr:col>
      <xdr:colOff>565150</xdr:colOff>
      <xdr:row>128</xdr:row>
      <xdr:rowOff>120650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7A49AC-9032-4291-8F87-DF35A1F52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29</xdr:row>
      <xdr:rowOff>0</xdr:rowOff>
    </xdr:from>
    <xdr:to>
      <xdr:col>38</xdr:col>
      <xdr:colOff>508000</xdr:colOff>
      <xdr:row>60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2351FF2-3706-488E-B2E4-EE8D1292A9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0" y="5340350"/>
              <a:ext cx="11480800" cy="584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0</xdr:row>
      <xdr:rowOff>0</xdr:rowOff>
    </xdr:from>
    <xdr:to>
      <xdr:col>38</xdr:col>
      <xdr:colOff>527050</xdr:colOff>
      <xdr:row>27</xdr:row>
      <xdr:rowOff>158750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24ADA7-D54B-48C9-A314-8D248EC58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62</xdr:row>
      <xdr:rowOff>0</xdr:rowOff>
    </xdr:from>
    <xdr:to>
      <xdr:col>38</xdr:col>
      <xdr:colOff>489857</xdr:colOff>
      <xdr:row>95</xdr:row>
      <xdr:rowOff>172357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A327BA-1E17-4C4B-BFFD-16424142F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09T06:31:41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0 1376 0 0,'-14'42'60'0'0,"-24"48"0"0"0,34-80-52 0 0,6-15-9 0 0,0-2-4 0 0,1 0 0 0 0,0 0 0 0 0,0 0-1 0 0,1 1 1 0 0,5-7 0 0 0,-9 11 5 0 0,1 1-1 0 0,0 0 0 0 0,0 0 1 0 0,0 0-1 0 0,0 0 1 0 0,0 0-1 0 0,0 0 0 0 0,0 0 1 0 0,0 0-1 0 0,0 0 1 0 0,1 1-1 0 0,-1-1 0 0 0,0 0 1 0 0,0 1-1 0 0,1-1 1 0 0,-1 1-1 0 0,0-1 0 0 0,1 1 1 0 0,-1 0-1 0 0,1 0 1 0 0,-1-1-1 0 0,0 1 0 0 0,1 0 1 0 0,-1 0-1 0 0,1 0 1 0 0,-1 1-1 0 0,1-1 0 0 0,-1 0 1 0 0,0 0-1 0 0,1 1 1 0 0,-1-1-1 0 0,0 1 1 0 0,1-1-1 0 0,-1 1 0 0 0,0 0 1 0 0,0-1-1 0 0,1 1 1 0 0,-1 0-1 0 0,1 1 0 0 0,4 3 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09T06:31:44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469 1 2304 0 0,'-27'0'969'0'0,"1"1"0"0"0,0 1-1 0 0,0 1 1 0 0,-1 2-1 0 0,2 0 1 0 0,-48 18 0 0 0,59-16-912 0 0,2 0 1 0 0,-1 1-1 0 0,1 0 1 0 0,0 1-1 0 0,1 1 0 0 0,0-1 1 0 0,0 2-1 0 0,1 0 1 0 0,0 0-1 0 0,1 1 1 0 0,1 0-1 0 0,-13 21 1 0 0,7-5-131 0 0,0 0-1 0 0,2 1 1 0 0,1 0 0 0 0,-13 60 0 0 0,21-74 96 0 0,0-1-1 0 0,1 1 0 0 0,1 0 1 0 0,1 0-1 0 0,0 0 1 0 0,0 0-1 0 0,4 18 1 0 0,-2-25 47 0 0,0 0-1 0 0,0 0 1 0 0,1 0 0 0 0,0-1 0 0 0,0 1-1 0 0,1-1 1 0 0,0 0 0 0 0,0 1-1 0 0,0-2 1 0 0,1 1 0 0 0,0-1-1 0 0,1 0 1 0 0,0 0 0 0 0,11 10 0 0 0,-3-7-33 0 0,0 0 1 0 0,1 0 0 0 0,0-2 0 0 0,0 1 0 0 0,1-2-1 0 0,0 0 1 0 0,0-1 0 0 0,1-1 0 0 0,-1 0 0 0 0,1-1 0 0 0,0-1-1 0 0,25 0 1 0 0,-20-2 7 0 0,0-1 0 0 0,0-1-1 0 0,-1 0 1 0 0,1-2 0 0 0,-1 0 0 0 0,1-2-1 0 0,-2 0 1 0 0,1-2 0 0 0,25-11-1 0 0,-31 10-41 0 0,-1-1 0 0 0,0 0 0 0 0,0-1 0 0 0,-1 0 0 0 0,0-1 0 0 0,-1 0 0 0 0,0-1 0 0 0,-1-1 0 0 0,-1 0 0 0 0,0 0 0 0 0,-1-1 0 0 0,0 0 0 0 0,-2-1 0 0 0,10-24 0 0 0,-8 16 37 0 0,-2-1 0 0 0,0 0 0 0 0,-1 0 0 0 0,-2-1 0 0 0,-1 0 0 0 0,0 1 0 0 0,-2-1 0 0 0,-1 0 0 0 0,-4-28 0 0 0,4 50-37 0 0,-1 0 1 0 0,0 0 0 0 0,0 0-1 0 0,0 0 1 0 0,0 0 0 0 0,0 0-1 0 0,-1 0 1 0 0,-2-4 0 0 0,3 7-10 0 0,0 0 0 0 0,1 0 0 0 0,-1 0 0 0 0,0 0 1 0 0,0 0-1 0 0,0 0 0 0 0,0 0 0 0 0,0 1 0 0 0,0-1 1 0 0,-1 0-1 0 0,1 1 0 0 0,0-1 0 0 0,0 1 1 0 0,0-1-1 0 0,-1 1 0 0 0,1 0 0 0 0,0-1 0 0 0,0 1 1 0 0,-1 0-1 0 0,1 0 0 0 0,0 0 0 0 0,-1 0 1 0 0,1 0-1 0 0,0 0 0 0 0,-1 0 0 0 0,1 0 0 0 0,0 1 1 0 0,-3 0-1 0 0,-21 6-331 0 0,-30 14 0 0 0,-20 6-672 0 0,8-12-2216 0 0,29-9 186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AB139-FA9B-4635-8E76-F6DBBEFDC1D5}" name="Table1" displayName="Table1" ref="A1:L30" totalsRowShown="0">
  <autoFilter ref="A1:L30" xr:uid="{F08AB139-FA9B-4635-8E76-F6DBBEFDC1D5}"/>
  <tableColumns count="12">
    <tableColumn id="1" xr3:uid="{AD69C51E-4BE9-4321-AD50-67D671C51928}" name="Year"/>
    <tableColumn id="2" xr3:uid="{3FB78319-9B87-4BF4-8B83-47406456929E}" name="Winner" dataDxfId="49"/>
    <tableColumn id="3" xr3:uid="{B7BA0CF8-26B0-4E41-BF76-7B779B3920BA}" name="Party"/>
    <tableColumn id="4" xr3:uid="{36A6CB21-AA9C-404C-AC85-E0E0E9C35B5C}" name="%" dataDxfId="48" dataCellStyle="Percent"/>
    <tableColumn id="5" xr3:uid="{C871F93F-93CC-4188-8E42-681E21E55F7D}" name="Margin%" dataCellStyle="Percent"/>
    <tableColumn id="6" xr3:uid="{C612F337-FF4C-44E6-A983-3681C7F9376C}" name="Votes" dataCellStyle="Comma"/>
    <tableColumn id="7" xr3:uid="{683F9F29-C325-49A4-98EE-0682C2E96519}" name="Margin2" dataCellStyle="Comma"/>
    <tableColumn id="8" xr3:uid="{6604764C-A7A8-42E5-BA46-83E04BC58E1E}" name="Runner-up" dataDxfId="47"/>
    <tableColumn id="9" xr3:uid="{34285176-CA7C-4039-8C8E-017D0CACD924}" name="Party3"/>
    <tableColumn id="13" xr3:uid="{6FE21CA1-149E-481C-8FBF-9491746804F0}" name="RU Votes" dataDxfId="46">
      <calculatedColumnFormula>Table1[[#This Row],[Votes]]-Table1[[#This Row],[Margin2]]</calculatedColumnFormula>
    </tableColumn>
    <tableColumn id="11" xr3:uid="{9E78744C-2905-4D3A-B36C-95BBABD05AE2}" name="Turnout" dataCellStyle="Percent"/>
    <tableColumn id="12" xr3:uid="{8A883D77-E9E6-4029-94FD-F7D4F44C81B5}" name="Total Vote" dataDxfId="45">
      <calculatedColumnFormula>Table1[[#This Row],[RU Votes]]+Table1[[#This Row],[Votes]]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E9BD01-D8B5-40E1-841D-9D55A59E74F4}" name="Table2" displayName="Table2" ref="A1:D30" totalsRowShown="0">
  <autoFilter ref="A1:D30" xr:uid="{1AE9BD01-D8B5-40E1-841D-9D55A59E74F4}"/>
  <tableColumns count="4">
    <tableColumn id="1" xr3:uid="{A458092B-DA53-49BD-AA06-F7DA9BE5B6AB}" name="Year"/>
    <tableColumn id="2" xr3:uid="{AD1A331D-7423-4BE1-B317-48D3B82BEB4A}" name="Dem." dataCellStyle="Comma">
      <calculatedColumnFormula>IF(Table1[[#This Row],[Party]]=Table2[[#Headers],[Dem.]],Table1[[#This Row],[Votes]],Table1[[#This Row],[RU Votes]])</calculatedColumnFormula>
    </tableColumn>
    <tableColumn id="3" xr3:uid="{C142F902-A972-4BC6-95D7-4485E545926C}" name="Rep." dataCellStyle="Comma">
      <calculatedColumnFormula>IF(Table1[[#This Row],[Party]]=Table2[[#Headers],[Rep.]],Table1[[#This Row],[Votes]],Table1[[#This Row],[RU Votes]])</calculatedColumnFormula>
    </tableColumn>
    <tableColumn id="4" xr3:uid="{0116E36B-CED0-42DC-9870-2B730D98024D}" name="Total" dataDxfId="44">
      <calculatedColumnFormula>Table2[[#This Row],[Rep.]]+Table2[[#This Row],[Dem.]]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095BC2-A0A6-40D4-9568-6BCFBBD9BF71}" name="Table4" displayName="Table4" ref="A1:I30" totalsRowShown="0">
  <autoFilter ref="A1:I30" xr:uid="{A1095BC2-A0A6-40D4-9568-6BCFBBD9BF71}"/>
  <tableColumns count="9">
    <tableColumn id="1" xr3:uid="{3B5CF394-A890-4410-9E9D-E8C89EDB6DCC}" name="Year"/>
    <tableColumn id="2" xr3:uid="{F7384657-C19F-4C88-B58A-4E08B53606BA}" name="Dem." dataDxfId="43" dataCellStyle="Comma"/>
    <tableColumn id="5" xr3:uid="{5782C911-D984-4EA3-852E-DD592AA1FE50}" name="DZ-Score" dataDxfId="42">
      <calculatedColumnFormula>(Table4[[#This Row],[Dem.]]-'DR Breakdown'!$G$8)/'DR Breakdown'!$G$9</calculatedColumnFormula>
    </tableColumn>
    <tableColumn id="8" xr3:uid="{448B421A-7D8B-4091-9750-9B431832BA43}" name="DZ Dif" dataDxfId="41">
      <calculatedColumnFormula>IFERROR(Table4[[#This Row],[DZ-Score]]-C1,"-")</calculatedColumnFormula>
    </tableColumn>
    <tableColumn id="3" xr3:uid="{4C515B6C-A0C9-4591-9A26-E387D3DF060E}" name="Rep." dataDxfId="40" dataCellStyle="Comma"/>
    <tableColumn id="6" xr3:uid="{70F61398-582A-4DE6-B58F-C299E6FBAE33}" name="RZ-Score" dataDxfId="39">
      <calculatedColumnFormula>(Table4[[#This Row],[Rep.]]-'DR Breakdown'!$J$8)/'DR Breakdown'!$J$9</calculatedColumnFormula>
    </tableColumn>
    <tableColumn id="9" xr3:uid="{E941F736-837D-47D3-8F1B-5B031E325BDD}" name="RZ Dif" dataDxfId="38">
      <calculatedColumnFormula>IFERROR(Table4[[#This Row],[RZ-Score]]-F1,"-")</calculatedColumnFormula>
    </tableColumn>
    <tableColumn id="4" xr3:uid="{9625CD85-835E-47F8-8C6F-6A0B56310D49}" name="Total" dataDxfId="37" dataCellStyle="Comma"/>
    <tableColumn id="7" xr3:uid="{D15BC4D4-AE23-4FEA-A16F-9552A9EE115D}" name="TZ-Score" dataDxfId="36">
      <calculatedColumnFormula>(Table4[[#This Row],[Total]]-'DR Breakdown'!$M$8)/'DR Breakdown'!$M$9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0B0A37-8442-49F3-9D45-92D9E55EADE5}" name="Table5" displayName="Table5" ref="A3:O32" totalsRowShown="0">
  <autoFilter ref="A3:O32" xr:uid="{F30B0A37-8442-49F3-9D45-92D9E55EADE5}"/>
  <tableColumns count="15">
    <tableColumn id="1" xr3:uid="{E63041C2-5509-4801-9318-BC9C7FF471E2}" name="Year" dataDxfId="35"/>
    <tableColumn id="2" xr3:uid="{F111EFAF-D8DF-4499-B652-F81532663E9B}" name="Population" dataDxfId="34"/>
    <tableColumn id="3" xr3:uid="{7AE9EAB1-CE8F-4A4F-BAD2-89CA9F1C65B4}" name="Dem Votes" dataDxfId="33"/>
    <tableColumn id="4" xr3:uid="{27419295-9381-4AF7-ABB0-B4707C0BE7DD}" name="Rep Votes" dataDxfId="32"/>
    <tableColumn id="9" xr3:uid="{FBFEF33D-077C-46EA-9A30-CF14099A96A5}" name="Total Votes" dataDxfId="31">
      <calculatedColumnFormula>Table5[[#This Row],[Dem Votes]]+Table5[[#This Row],[Rep Votes]]</calculatedColumnFormula>
    </tableColumn>
    <tableColumn id="13" xr3:uid="{4CEA4776-2912-4D5C-8550-5E8A7DB4D47B}" name="T% of Pop" dataDxfId="30" dataCellStyle="Percent">
      <calculatedColumnFormula>Table5[[#This Row],[Total Votes]]/Table5[[#This Row],[Population]]</calculatedColumnFormula>
    </tableColumn>
    <tableColumn id="14" xr3:uid="{F19F107D-DA97-434B-B625-0C87D096C98C}" name="Column3" dataDxfId="29" dataCellStyle="Percent">
      <calculatedColumnFormula>IFERROR((Table5[[#This Row],[T% of Pop]]-F3)/F3,"-")</calculatedColumnFormula>
    </tableColumn>
    <tableColumn id="15" xr3:uid="{A64E8D38-93DA-4185-9CC7-95ABCDD80DC7}" name="T%Z-Score" dataDxfId="28" dataCellStyle="Percent">
      <calculatedColumnFormula>(Table5[[#This Row],[T% of Pop]]-$R$17)/$R$18</calculatedColumnFormula>
    </tableColumn>
    <tableColumn id="5" xr3:uid="{FF14BDCA-6013-4256-BEFB-0FCAE1EBFC99}" name="D% of Pop" dataDxfId="27" dataCellStyle="Percent">
      <calculatedColumnFormula>Table5[[#This Row],[Dem Votes]]/Table5[[#This Row],[Population]]</calculatedColumnFormula>
    </tableColumn>
    <tableColumn id="7" xr3:uid="{7475CBB0-6D25-4822-A23A-1D543848E45B}" name="D%Z-Score2" dataDxfId="26" dataCellStyle="Percent">
      <calculatedColumnFormula>(Table5[[#This Row],[D% of Pop]]-$Q$6)/$Q$7</calculatedColumnFormula>
    </tableColumn>
    <tableColumn id="8" xr3:uid="{3B68E4D1-FB41-47E0-9637-1F0A42FACF73}" name="Z Dif" dataDxfId="25" dataCellStyle="Percent">
      <calculatedColumnFormula>IFERROR(Table5[[#This Row],[D%Z-Score2]]-J3,"-")</calculatedColumnFormula>
    </tableColumn>
    <tableColumn id="6" xr3:uid="{07C18EB6-0A11-4621-9B6C-144F47ACC91F}" name="R% of Pop" dataDxfId="24" dataCellStyle="Percent">
      <calculatedColumnFormula>Table5[[#This Row],[Rep Votes]]/Table5[[#This Row],[Population]]</calculatedColumnFormula>
    </tableColumn>
    <tableColumn id="10" xr3:uid="{ED48BB3F-3F46-4E1A-83B3-BA3AFA1A2ACE}" name="R% of Pop2" dataDxfId="23" dataCellStyle="Percent">
      <calculatedColumnFormula>Table5[[#This Row],[Rep Votes]]/Table5[[#This Row],[Population]]</calculatedColumnFormula>
    </tableColumn>
    <tableColumn id="11" xr3:uid="{CC86E094-CADB-49AC-9884-F5D1EB2AD77A}" name="R%Z-Score" dataDxfId="22">
      <calculatedColumnFormula>(Table5[[#This Row],[R% of Pop2]]-$T$6)/$T$7</calculatedColumnFormula>
    </tableColumn>
    <tableColumn id="12" xr3:uid="{4A78ACDA-08FF-48FA-AB1E-8997AB52828C}" name="RZ Dif" dataDxfId="21">
      <calculatedColumnFormula>IFERROR(Table5[[#This Row],[R%Z-Score]]-N3,"-")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39EA62-EAD2-4128-8C3E-18004F337AD9}" name="Table6" displayName="Table6" ref="A1:O15" totalsRowShown="0" headerRowDxfId="20" headerRowBorderDxfId="19" tableBorderDxfId="18">
  <autoFilter ref="A1:O15" xr:uid="{6039EA62-EAD2-4128-8C3E-18004F337AD9}"/>
  <tableColumns count="15">
    <tableColumn id="1" xr3:uid="{B2D58069-490D-42B1-9AEC-743DCF8D09E3}" name="Year"/>
    <tableColumn id="2" xr3:uid="{175E78B1-78AE-4CBC-80F1-A2EE6F1E1029}" name="Population" dataDxfId="17"/>
    <tableColumn id="3" xr3:uid="{B42BC3A8-A9BA-4446-833D-F124555DDA08}" name="Dem Votes" dataDxfId="16"/>
    <tableColumn id="4" xr3:uid="{497D4046-CCEF-4398-92EF-F9CC7E49A7FB}" name="Rep Votes" dataDxfId="15"/>
    <tableColumn id="13" xr3:uid="{7F5E9FDC-BF42-4FAD-86E5-9AFB5B3EA57F}" name="Total Votes" dataDxfId="14">
      <calculatedColumnFormula>Table6[[#This Row],[Rep Votes]]+Table6[[#This Row],[Dem Votes]]</calculatedColumnFormula>
    </tableColumn>
    <tableColumn id="14" xr3:uid="{E2A617E9-841B-46B1-B4E0-1C5780B43AD2}" name="T% of Pop" dataCellStyle="Percent">
      <calculatedColumnFormula>Table6[[#This Row],[Total Votes]]/Table6[[#This Row],[Population]]</calculatedColumnFormula>
    </tableColumn>
    <tableColumn id="15" xr3:uid="{2DA31A8A-9709-4A8C-AAD5-6CC23DAEDC69}" name="T Probability" dataDxfId="13" dataCellStyle="Percent">
      <calculatedColumnFormula>1-_xlfn.NORM.DIST(Table6[[#This Row],[T% of Pop]],$R$25,$R$26,TRUE)</calculatedColumnFormula>
    </tableColumn>
    <tableColumn id="5" xr3:uid="{046465ED-BE60-4657-8872-A2B7014D6640}" name="D% of Pop" dataDxfId="12" dataCellStyle="Percent"/>
    <tableColumn id="11" xr3:uid="{D5325206-84FE-4C0A-B0E9-A7964817A3AA}" name="D Probability" dataDxfId="11" dataCellStyle="Percent">
      <calculatedColumnFormula>1-_xlfn.NORM.DIST(Table6[[#This Row],[D% of Pop]],$R$13,$R$14,TRUE)</calculatedColumnFormula>
    </tableColumn>
    <tableColumn id="6" xr3:uid="{34C42BFB-145C-49F2-AF54-4228AB2C8A5C}" name="D%Z-Score" dataDxfId="10">
      <calculatedColumnFormula>(Table6[[#This Row],[D% of Pop]]-$R$13)/$R$14</calculatedColumnFormula>
    </tableColumn>
    <tableColumn id="7" xr3:uid="{03EC10DD-6246-4AB5-B44C-4B34108CC558}" name="DZ Dif" dataDxfId="9">
      <calculatedColumnFormula>IFERROR((Table6[[#This Row],[D%Z-Score]]-J1),"-")</calculatedColumnFormula>
    </tableColumn>
    <tableColumn id="8" xr3:uid="{244BFF41-AB38-459B-9D54-5D31BE644A52}" name="R% of Pop" dataDxfId="8" dataCellStyle="Percent"/>
    <tableColumn id="12" xr3:uid="{5D5B53E9-0D2B-41C4-9B57-A23AFFF2C3C1}" name="R Probability" dataDxfId="7" dataCellStyle="Percent">
      <calculatedColumnFormula>1-_xlfn.NORM.DIST(Table6[[#This Row],[R% of Pop]],$U$13,$U$14,TRUE)</calculatedColumnFormula>
    </tableColumn>
    <tableColumn id="9" xr3:uid="{3172382A-0895-40AD-87DA-6204E84F8C3F}" name="R%Z-Score" dataDxfId="6">
      <calculatedColumnFormula>(Table6[[#This Row],[R% of Pop]]-$U$13)/$U$14</calculatedColumnFormula>
    </tableColumn>
    <tableColumn id="10" xr3:uid="{399C3C09-6CB2-45D8-BCFB-A350F6CB4EF2}" name="RZ Dif" dataDxfId="5">
      <calculatedColumnFormula>IFERROR(Table6[[#This Row],[R%Z-Score]]-N1,"-")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D1C6-9721-43C7-B894-94DBFF49DF1E}">
  <dimension ref="A1:L33"/>
  <sheetViews>
    <sheetView tabSelected="1" workbookViewId="0">
      <selection activeCell="C7" sqref="C7:C10"/>
    </sheetView>
  </sheetViews>
  <sheetFormatPr defaultRowHeight="14.5" x14ac:dyDescent="0.35"/>
  <cols>
    <col min="1" max="1" width="6.81640625" bestFit="1" customWidth="1"/>
    <col min="2" max="2" width="18.36328125" bestFit="1" customWidth="1"/>
    <col min="3" max="3" width="7.36328125" bestFit="1" customWidth="1"/>
    <col min="4" max="4" width="6.90625" bestFit="1" customWidth="1"/>
    <col min="5" max="5" width="10.26953125" bestFit="1" customWidth="1"/>
    <col min="6" max="7" width="13.81640625" bestFit="1" customWidth="1"/>
    <col min="8" max="8" width="18.81640625" bestFit="1" customWidth="1"/>
    <col min="9" max="9" width="8.36328125" bestFit="1" customWidth="1"/>
    <col min="10" max="10" width="13.81640625" bestFit="1" customWidth="1"/>
    <col min="11" max="11" width="9.54296875" bestFit="1" customWidth="1"/>
    <col min="12" max="12" width="14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</v>
      </c>
      <c r="K1" t="s">
        <v>9</v>
      </c>
      <c r="L1" t="s">
        <v>54</v>
      </c>
    </row>
    <row r="2" spans="1:12" x14ac:dyDescent="0.35">
      <c r="A2" s="7">
        <v>1912</v>
      </c>
      <c r="B2" s="7" t="s">
        <v>47</v>
      </c>
      <c r="C2" s="7" t="s">
        <v>13</v>
      </c>
      <c r="D2" s="8">
        <v>0.41839999999999999</v>
      </c>
      <c r="E2" s="8">
        <v>0.1444</v>
      </c>
      <c r="F2" s="9">
        <v>6296284</v>
      </c>
      <c r="G2" s="9">
        <v>2173563</v>
      </c>
      <c r="H2" s="7" t="s">
        <v>48</v>
      </c>
      <c r="I2" s="10" t="s">
        <v>49</v>
      </c>
      <c r="J2" s="10">
        <f>Table1[[#This Row],[Votes]]-Table1[[#This Row],[Margin2]]</f>
        <v>4122721</v>
      </c>
      <c r="K2" s="8">
        <v>0.59</v>
      </c>
      <c r="L2" s="13">
        <f>Table1[[#This Row],[RU Votes]]+Table1[[#This Row],[Votes]]</f>
        <v>10419005</v>
      </c>
    </row>
    <row r="3" spans="1:12" x14ac:dyDescent="0.35">
      <c r="A3">
        <v>1916</v>
      </c>
      <c r="B3" t="s">
        <v>47</v>
      </c>
      <c r="C3" t="s">
        <v>13</v>
      </c>
      <c r="D3" s="1">
        <v>0.4924</v>
      </c>
      <c r="E3" s="1">
        <v>3.1199999999999999E-2</v>
      </c>
      <c r="F3" s="2">
        <v>9126868</v>
      </c>
      <c r="G3" s="2">
        <v>578140</v>
      </c>
      <c r="H3" t="s">
        <v>50</v>
      </c>
      <c r="I3" t="s">
        <v>11</v>
      </c>
      <c r="J3" s="11">
        <f>Table1[[#This Row],[Votes]]-Table1[[#This Row],[Margin2]]</f>
        <v>8548728</v>
      </c>
      <c r="K3" s="1">
        <v>0.61799999999999999</v>
      </c>
      <c r="L3" s="11">
        <f>Table1[[#This Row],[RU Votes]]+Table1[[#This Row],[Votes]]</f>
        <v>17675596</v>
      </c>
    </row>
    <row r="4" spans="1:12" x14ac:dyDescent="0.35">
      <c r="A4">
        <v>1920</v>
      </c>
      <c r="B4" t="s">
        <v>52</v>
      </c>
      <c r="C4" t="s">
        <v>11</v>
      </c>
      <c r="D4" s="1">
        <v>0.60319999999999996</v>
      </c>
      <c r="E4" s="1">
        <v>0.26169999999999999</v>
      </c>
      <c r="F4" s="2">
        <v>16144093</v>
      </c>
      <c r="G4" s="4">
        <v>7004432</v>
      </c>
      <c r="H4" s="4" t="s">
        <v>51</v>
      </c>
      <c r="I4" s="6" t="s">
        <v>13</v>
      </c>
      <c r="J4" s="12">
        <f>Table1[[#This Row],[Votes]]-Table1[[#This Row],[Margin2]]</f>
        <v>9139661</v>
      </c>
      <c r="K4" s="1">
        <v>0.49199999999999999</v>
      </c>
      <c r="L4" s="11">
        <f>Table1[[#This Row],[RU Votes]]+Table1[[#This Row],[Votes]]</f>
        <v>25283754</v>
      </c>
    </row>
    <row r="5" spans="1:12" x14ac:dyDescent="0.35">
      <c r="A5">
        <v>1924</v>
      </c>
      <c r="B5" t="s">
        <v>10</v>
      </c>
      <c r="C5" t="s">
        <v>11</v>
      </c>
      <c r="D5" s="1">
        <v>0.54039999999999999</v>
      </c>
      <c r="E5" s="1">
        <v>0.25219999999999998</v>
      </c>
      <c r="F5" s="2">
        <v>15723789</v>
      </c>
      <c r="G5" s="2">
        <v>7337547</v>
      </c>
      <c r="H5" t="s">
        <v>12</v>
      </c>
      <c r="I5" t="s">
        <v>13</v>
      </c>
      <c r="J5" s="11">
        <f>Table1[[#This Row],[Votes]]-Table1[[#This Row],[Margin2]]</f>
        <v>8386242</v>
      </c>
      <c r="K5" s="1">
        <v>0.48899999999999999</v>
      </c>
      <c r="L5" s="11">
        <f>Table1[[#This Row],[RU Votes]]+Table1[[#This Row],[Votes]]</f>
        <v>24110031</v>
      </c>
    </row>
    <row r="6" spans="1:12" x14ac:dyDescent="0.35">
      <c r="A6">
        <v>1928</v>
      </c>
      <c r="B6" t="s">
        <v>14</v>
      </c>
      <c r="C6" t="s">
        <v>11</v>
      </c>
      <c r="D6" s="1">
        <v>0.58209999999999995</v>
      </c>
      <c r="E6" s="1">
        <v>0.1741</v>
      </c>
      <c r="F6" s="2">
        <v>21427123</v>
      </c>
      <c r="G6" s="2">
        <v>6411659</v>
      </c>
      <c r="H6" t="s">
        <v>15</v>
      </c>
      <c r="I6" t="s">
        <v>13</v>
      </c>
      <c r="J6" s="11">
        <f>Table1[[#This Row],[Votes]]-Table1[[#This Row],[Margin2]]</f>
        <v>15015464</v>
      </c>
      <c r="K6" s="1">
        <v>0.56899999999999995</v>
      </c>
      <c r="L6" s="11">
        <f>Table1[[#This Row],[RU Votes]]+Table1[[#This Row],[Votes]]</f>
        <v>36442587</v>
      </c>
    </row>
    <row r="7" spans="1:12" x14ac:dyDescent="0.35">
      <c r="A7">
        <v>1932</v>
      </c>
      <c r="B7" t="s">
        <v>16</v>
      </c>
      <c r="C7" t="s">
        <v>13</v>
      </c>
      <c r="D7" s="1">
        <v>0.57410000000000005</v>
      </c>
      <c r="E7" s="1">
        <v>0.17760000000000001</v>
      </c>
      <c r="F7" s="2">
        <v>22821277</v>
      </c>
      <c r="G7" s="2">
        <v>7060023</v>
      </c>
      <c r="H7" t="s">
        <v>14</v>
      </c>
      <c r="I7" t="s">
        <v>11</v>
      </c>
      <c r="J7" s="11">
        <f>Table1[[#This Row],[Votes]]-Table1[[#This Row],[Margin2]]</f>
        <v>15761254</v>
      </c>
      <c r="K7" s="1">
        <v>0.56899999999999995</v>
      </c>
      <c r="L7" s="11">
        <f>Table1[[#This Row],[RU Votes]]+Table1[[#This Row],[Votes]]</f>
        <v>38582531</v>
      </c>
    </row>
    <row r="8" spans="1:12" x14ac:dyDescent="0.35">
      <c r="A8">
        <v>1936</v>
      </c>
      <c r="B8" t="s">
        <v>16</v>
      </c>
      <c r="C8" t="s">
        <v>13</v>
      </c>
      <c r="D8" s="1">
        <v>0.60799999999999998</v>
      </c>
      <c r="E8" s="1">
        <v>0.24260000000000001</v>
      </c>
      <c r="F8" s="2">
        <v>27752648</v>
      </c>
      <c r="G8" s="2">
        <v>11070786</v>
      </c>
      <c r="H8" t="s">
        <v>17</v>
      </c>
      <c r="I8" t="s">
        <v>11</v>
      </c>
      <c r="J8" s="11">
        <f>Table1[[#This Row],[Votes]]-Table1[[#This Row],[Margin2]]</f>
        <v>16681862</v>
      </c>
      <c r="K8" s="1">
        <v>0.61</v>
      </c>
      <c r="L8" s="11">
        <f>Table1[[#This Row],[RU Votes]]+Table1[[#This Row],[Votes]]</f>
        <v>44434510</v>
      </c>
    </row>
    <row r="9" spans="1:12" x14ac:dyDescent="0.35">
      <c r="A9">
        <v>1940</v>
      </c>
      <c r="B9" t="s">
        <v>16</v>
      </c>
      <c r="C9" t="s">
        <v>13</v>
      </c>
      <c r="D9" s="1">
        <v>0.5474</v>
      </c>
      <c r="E9" s="1">
        <v>9.9599999999999994E-2</v>
      </c>
      <c r="F9" s="2">
        <v>27313945</v>
      </c>
      <c r="G9" s="2">
        <v>4966201</v>
      </c>
      <c r="H9" t="s">
        <v>18</v>
      </c>
      <c r="I9" t="s">
        <v>11</v>
      </c>
      <c r="J9" s="11">
        <f>Table1[[#This Row],[Votes]]-Table1[[#This Row],[Margin2]]</f>
        <v>22347744</v>
      </c>
      <c r="K9" s="1">
        <v>0.624</v>
      </c>
      <c r="L9" s="11">
        <f>Table1[[#This Row],[RU Votes]]+Table1[[#This Row],[Votes]]</f>
        <v>49661689</v>
      </c>
    </row>
    <row r="10" spans="1:12" x14ac:dyDescent="0.35">
      <c r="A10">
        <v>1944</v>
      </c>
      <c r="B10" t="s">
        <v>16</v>
      </c>
      <c r="C10" t="s">
        <v>13</v>
      </c>
      <c r="D10" s="1">
        <v>0.53390000000000004</v>
      </c>
      <c r="E10" s="1">
        <v>7.4999999999999997E-2</v>
      </c>
      <c r="F10" s="2">
        <v>25612916</v>
      </c>
      <c r="G10" s="2">
        <v>3594987</v>
      </c>
      <c r="H10" t="s">
        <v>19</v>
      </c>
      <c r="I10" t="s">
        <v>11</v>
      </c>
      <c r="J10" s="11">
        <f>Table1[[#This Row],[Votes]]-Table1[[#This Row],[Margin2]]</f>
        <v>22017929</v>
      </c>
      <c r="K10" s="1">
        <v>0.55900000000000005</v>
      </c>
      <c r="L10" s="11">
        <f>Table1[[#This Row],[RU Votes]]+Table1[[#This Row],[Votes]]</f>
        <v>47630845</v>
      </c>
    </row>
    <row r="11" spans="1:12" x14ac:dyDescent="0.35">
      <c r="A11">
        <v>1948</v>
      </c>
      <c r="B11" t="s">
        <v>20</v>
      </c>
      <c r="C11" t="s">
        <v>13</v>
      </c>
      <c r="D11" s="1">
        <v>0.4955</v>
      </c>
      <c r="E11" s="1">
        <v>4.48E-2</v>
      </c>
      <c r="F11" s="2">
        <v>24179347</v>
      </c>
      <c r="G11" s="2">
        <v>2188055</v>
      </c>
      <c r="H11" t="s">
        <v>19</v>
      </c>
      <c r="I11" t="s">
        <v>11</v>
      </c>
      <c r="J11" s="11">
        <f>Table1[[#This Row],[Votes]]-Table1[[#This Row],[Margin2]]</f>
        <v>21991292</v>
      </c>
      <c r="K11" s="1">
        <v>0.52200000000000002</v>
      </c>
      <c r="L11" s="11">
        <f>Table1[[#This Row],[RU Votes]]+Table1[[#This Row],[Votes]]</f>
        <v>46170639</v>
      </c>
    </row>
    <row r="12" spans="1:12" x14ac:dyDescent="0.35">
      <c r="A12">
        <v>1952</v>
      </c>
      <c r="B12" t="s">
        <v>21</v>
      </c>
      <c r="C12" t="s">
        <v>11</v>
      </c>
      <c r="D12" s="1">
        <v>0.55179999999999996</v>
      </c>
      <c r="E12" s="1">
        <v>0.1085</v>
      </c>
      <c r="F12" s="2">
        <v>34075529</v>
      </c>
      <c r="G12" s="2">
        <v>6700439</v>
      </c>
      <c r="H12" t="s">
        <v>22</v>
      </c>
      <c r="I12" t="s">
        <v>13</v>
      </c>
      <c r="J12" s="11">
        <f>Table1[[#This Row],[Votes]]-Table1[[#This Row],[Margin2]]</f>
        <v>27375090</v>
      </c>
      <c r="K12" s="1">
        <v>0.623</v>
      </c>
      <c r="L12" s="11">
        <f>Table1[[#This Row],[RU Votes]]+Table1[[#This Row],[Votes]]</f>
        <v>61450619</v>
      </c>
    </row>
    <row r="13" spans="1:12" x14ac:dyDescent="0.35">
      <c r="A13">
        <v>1956</v>
      </c>
      <c r="B13" t="s">
        <v>21</v>
      </c>
      <c r="C13" t="s">
        <v>11</v>
      </c>
      <c r="D13" s="1">
        <v>0.57369999999999999</v>
      </c>
      <c r="E13" s="1">
        <v>0.154</v>
      </c>
      <c r="F13" s="2">
        <v>35579180</v>
      </c>
      <c r="G13" s="2">
        <v>9551152</v>
      </c>
      <c r="H13" t="s">
        <v>22</v>
      </c>
      <c r="I13" t="s">
        <v>13</v>
      </c>
      <c r="J13" s="11">
        <f>Table1[[#This Row],[Votes]]-Table1[[#This Row],[Margin2]]</f>
        <v>26028028</v>
      </c>
      <c r="K13" s="1">
        <v>0.60199999999999998</v>
      </c>
      <c r="L13" s="11">
        <f>Table1[[#This Row],[RU Votes]]+Table1[[#This Row],[Votes]]</f>
        <v>61607208</v>
      </c>
    </row>
    <row r="14" spans="1:12" x14ac:dyDescent="0.35">
      <c r="A14">
        <v>1960</v>
      </c>
      <c r="B14" t="s">
        <v>23</v>
      </c>
      <c r="C14" t="s">
        <v>13</v>
      </c>
      <c r="D14" s="1">
        <v>0.49719999999999998</v>
      </c>
      <c r="E14" s="1">
        <v>1.6999999999999999E-3</v>
      </c>
      <c r="F14" s="2">
        <v>34220984</v>
      </c>
      <c r="G14" s="2">
        <v>112827</v>
      </c>
      <c r="H14" t="s">
        <v>24</v>
      </c>
      <c r="I14" t="s">
        <v>11</v>
      </c>
      <c r="J14" s="11">
        <f>Table1[[#This Row],[Votes]]-Table1[[#This Row],[Margin2]]</f>
        <v>34108157</v>
      </c>
      <c r="K14" s="1">
        <v>0.63800000000000001</v>
      </c>
      <c r="L14" s="11">
        <f>Table1[[#This Row],[RU Votes]]+Table1[[#This Row],[Votes]]</f>
        <v>68329141</v>
      </c>
    </row>
    <row r="15" spans="1:12" x14ac:dyDescent="0.35">
      <c r="A15">
        <v>1964</v>
      </c>
      <c r="B15" t="s">
        <v>25</v>
      </c>
      <c r="C15" t="s">
        <v>13</v>
      </c>
      <c r="D15" s="1">
        <v>0.61050000000000004</v>
      </c>
      <c r="E15" s="1">
        <v>0.2258</v>
      </c>
      <c r="F15" s="2">
        <v>43129040</v>
      </c>
      <c r="G15" s="2">
        <v>15953286</v>
      </c>
      <c r="H15" t="s">
        <v>26</v>
      </c>
      <c r="I15" t="s">
        <v>11</v>
      </c>
      <c r="J15" s="11">
        <f>Table1[[#This Row],[Votes]]-Table1[[#This Row],[Margin2]]</f>
        <v>27175754</v>
      </c>
      <c r="K15" s="1">
        <v>0.628</v>
      </c>
      <c r="L15" s="11">
        <f>Table1[[#This Row],[RU Votes]]+Table1[[#This Row],[Votes]]</f>
        <v>70304794</v>
      </c>
    </row>
    <row r="16" spans="1:12" x14ac:dyDescent="0.35">
      <c r="A16">
        <v>1968</v>
      </c>
      <c r="B16" t="s">
        <v>24</v>
      </c>
      <c r="C16" t="s">
        <v>11</v>
      </c>
      <c r="D16" s="1">
        <v>0.43419999999999997</v>
      </c>
      <c r="E16" s="1">
        <v>7.0000000000000001E-3</v>
      </c>
      <c r="F16" s="2">
        <v>31783783</v>
      </c>
      <c r="G16" s="2">
        <v>511944</v>
      </c>
      <c r="H16" t="s">
        <v>27</v>
      </c>
      <c r="I16" t="s">
        <v>13</v>
      </c>
      <c r="J16" s="11">
        <f>Table1[[#This Row],[Votes]]-Table1[[#This Row],[Margin2]]</f>
        <v>31271839</v>
      </c>
      <c r="K16" s="1">
        <v>0.625</v>
      </c>
      <c r="L16" s="11">
        <f>Table1[[#This Row],[RU Votes]]+Table1[[#This Row],[Votes]]</f>
        <v>63055622</v>
      </c>
    </row>
    <row r="17" spans="1:12" x14ac:dyDescent="0.35">
      <c r="A17">
        <v>1972</v>
      </c>
      <c r="B17" t="s">
        <v>24</v>
      </c>
      <c r="C17" t="s">
        <v>11</v>
      </c>
      <c r="D17" s="1">
        <v>0.60670000000000002</v>
      </c>
      <c r="E17" s="1">
        <v>0.23150000000000001</v>
      </c>
      <c r="F17" s="2">
        <v>47168710</v>
      </c>
      <c r="G17" s="2">
        <v>17995488</v>
      </c>
      <c r="H17" t="s">
        <v>28</v>
      </c>
      <c r="I17" t="s">
        <v>13</v>
      </c>
      <c r="J17" s="11">
        <f>Table1[[#This Row],[Votes]]-Table1[[#This Row],[Margin2]]</f>
        <v>29173222</v>
      </c>
      <c r="K17" s="1">
        <v>0.56200000000000006</v>
      </c>
      <c r="L17" s="11">
        <f>Table1[[#This Row],[RU Votes]]+Table1[[#This Row],[Votes]]</f>
        <v>76341932</v>
      </c>
    </row>
    <row r="18" spans="1:12" x14ac:dyDescent="0.35">
      <c r="A18">
        <v>1976</v>
      </c>
      <c r="B18" t="s">
        <v>29</v>
      </c>
      <c r="C18" t="s">
        <v>13</v>
      </c>
      <c r="D18" s="1">
        <v>0.50080000000000002</v>
      </c>
      <c r="E18" s="1">
        <v>2.06E-2</v>
      </c>
      <c r="F18" s="2">
        <v>40831881</v>
      </c>
      <c r="G18" s="2">
        <v>1683247</v>
      </c>
      <c r="H18" t="s">
        <v>30</v>
      </c>
      <c r="I18" t="s">
        <v>11</v>
      </c>
      <c r="J18" s="11">
        <f>Table1[[#This Row],[Votes]]-Table1[[#This Row],[Margin2]]</f>
        <v>39148634</v>
      </c>
      <c r="K18" s="1">
        <v>0.54800000000000004</v>
      </c>
      <c r="L18" s="11">
        <f>Table1[[#This Row],[RU Votes]]+Table1[[#This Row],[Votes]]</f>
        <v>79980515</v>
      </c>
    </row>
    <row r="19" spans="1:12" x14ac:dyDescent="0.35">
      <c r="A19">
        <v>1980</v>
      </c>
      <c r="B19" t="s">
        <v>31</v>
      </c>
      <c r="C19" t="s">
        <v>11</v>
      </c>
      <c r="D19" s="1">
        <v>0.50749999999999995</v>
      </c>
      <c r="E19" s="1">
        <v>9.74E-2</v>
      </c>
      <c r="F19" s="2">
        <v>43903230</v>
      </c>
      <c r="G19" s="2">
        <v>8422115</v>
      </c>
      <c r="H19" t="s">
        <v>29</v>
      </c>
      <c r="I19" t="s">
        <v>13</v>
      </c>
      <c r="J19" s="11">
        <f>Table1[[#This Row],[Votes]]-Table1[[#This Row],[Margin2]]</f>
        <v>35481115</v>
      </c>
      <c r="K19" s="1">
        <v>0.54200000000000004</v>
      </c>
      <c r="L19" s="11">
        <f>Table1[[#This Row],[RU Votes]]+Table1[[#This Row],[Votes]]</f>
        <v>79384345</v>
      </c>
    </row>
    <row r="20" spans="1:12" x14ac:dyDescent="0.35">
      <c r="A20">
        <v>1984</v>
      </c>
      <c r="B20" t="s">
        <v>31</v>
      </c>
      <c r="C20" t="s">
        <v>11</v>
      </c>
      <c r="D20" s="1">
        <v>0.5877</v>
      </c>
      <c r="E20" s="1">
        <v>0.18210000000000001</v>
      </c>
      <c r="F20" s="2">
        <v>54455472</v>
      </c>
      <c r="G20" s="2">
        <v>16878120</v>
      </c>
      <c r="H20" t="s">
        <v>32</v>
      </c>
      <c r="I20" t="s">
        <v>13</v>
      </c>
      <c r="J20" s="11">
        <f>Table1[[#This Row],[Votes]]-Table1[[#This Row],[Margin2]]</f>
        <v>37577352</v>
      </c>
      <c r="K20" s="1">
        <v>0.55200000000000005</v>
      </c>
      <c r="L20" s="11">
        <f>Table1[[#This Row],[RU Votes]]+Table1[[#This Row],[Votes]]</f>
        <v>92032824</v>
      </c>
    </row>
    <row r="21" spans="1:12" x14ac:dyDescent="0.35">
      <c r="A21">
        <v>1988</v>
      </c>
      <c r="B21" t="s">
        <v>33</v>
      </c>
      <c r="C21" t="s">
        <v>11</v>
      </c>
      <c r="D21" s="1">
        <v>0.53369999999999995</v>
      </c>
      <c r="E21" s="1">
        <v>7.7200000000000005E-2</v>
      </c>
      <c r="F21" s="2">
        <v>48886597</v>
      </c>
      <c r="G21" s="2">
        <v>7077121</v>
      </c>
      <c r="H21" t="s">
        <v>34</v>
      </c>
      <c r="I21" t="s">
        <v>13</v>
      </c>
      <c r="J21" s="11">
        <f>Table1[[#This Row],[Votes]]-Table1[[#This Row],[Margin2]]</f>
        <v>41809476</v>
      </c>
      <c r="K21" s="1">
        <v>0.52800000000000002</v>
      </c>
      <c r="L21" s="11">
        <f>Table1[[#This Row],[RU Votes]]+Table1[[#This Row],[Votes]]</f>
        <v>90696073</v>
      </c>
    </row>
    <row r="22" spans="1:12" x14ac:dyDescent="0.35">
      <c r="A22">
        <v>1992</v>
      </c>
      <c r="B22" t="s">
        <v>35</v>
      </c>
      <c r="C22" t="s">
        <v>13</v>
      </c>
      <c r="D22" s="1">
        <v>0.43009999999999998</v>
      </c>
      <c r="E22" s="1">
        <v>5.5599999999999997E-2</v>
      </c>
      <c r="F22" s="2">
        <v>44909889</v>
      </c>
      <c r="G22" s="2">
        <v>5805339</v>
      </c>
      <c r="H22" t="s">
        <v>33</v>
      </c>
      <c r="I22" t="s">
        <v>11</v>
      </c>
      <c r="J22" s="11">
        <f>Table1[[#This Row],[Votes]]-Table1[[#This Row],[Margin2]]</f>
        <v>39104550</v>
      </c>
      <c r="K22" s="1">
        <v>0.58099999999999996</v>
      </c>
      <c r="L22" s="11">
        <f>Table1[[#This Row],[RU Votes]]+Table1[[#This Row],[Votes]]</f>
        <v>84014439</v>
      </c>
    </row>
    <row r="23" spans="1:12" x14ac:dyDescent="0.35">
      <c r="A23">
        <v>1996</v>
      </c>
      <c r="B23" t="s">
        <v>35</v>
      </c>
      <c r="C23" t="s">
        <v>13</v>
      </c>
      <c r="D23" s="1">
        <v>0.49230000000000002</v>
      </c>
      <c r="E23" s="1">
        <v>8.5099999999999995E-2</v>
      </c>
      <c r="F23" s="2">
        <v>47401185</v>
      </c>
      <c r="G23" s="2">
        <v>8203716</v>
      </c>
      <c r="H23" t="s">
        <v>36</v>
      </c>
      <c r="I23" t="s">
        <v>11</v>
      </c>
      <c r="J23" s="11">
        <f>Table1[[#This Row],[Votes]]-Table1[[#This Row],[Margin2]]</f>
        <v>39197469</v>
      </c>
      <c r="K23" s="1">
        <v>0.51700000000000002</v>
      </c>
      <c r="L23" s="11">
        <f>Table1[[#This Row],[RU Votes]]+Table1[[#This Row],[Votes]]</f>
        <v>86598654</v>
      </c>
    </row>
    <row r="24" spans="1:12" x14ac:dyDescent="0.35">
      <c r="A24">
        <v>2000</v>
      </c>
      <c r="B24" t="s">
        <v>37</v>
      </c>
      <c r="C24" t="s">
        <v>11</v>
      </c>
      <c r="D24" s="1">
        <v>0.47870000000000001</v>
      </c>
      <c r="E24" s="1">
        <v>-5.1000000000000004E-3</v>
      </c>
      <c r="F24" s="2">
        <v>50456002</v>
      </c>
      <c r="G24" s="2">
        <v>-543895</v>
      </c>
      <c r="H24" t="s">
        <v>38</v>
      </c>
      <c r="I24" t="s">
        <v>13</v>
      </c>
      <c r="J24" s="11">
        <f>Table1[[#This Row],[Votes]]-Table1[[#This Row],[Margin2]]</f>
        <v>50999897</v>
      </c>
      <c r="K24" s="1">
        <v>0.54200000000000004</v>
      </c>
      <c r="L24" s="11">
        <f>Table1[[#This Row],[RU Votes]]+Table1[[#This Row],[Votes]]</f>
        <v>101455899</v>
      </c>
    </row>
    <row r="25" spans="1:12" x14ac:dyDescent="0.35">
      <c r="A25">
        <v>2004</v>
      </c>
      <c r="B25" t="s">
        <v>37</v>
      </c>
      <c r="C25" t="s">
        <v>11</v>
      </c>
      <c r="D25" s="1">
        <v>0.50729999999999997</v>
      </c>
      <c r="E25" s="1">
        <v>2.46E-2</v>
      </c>
      <c r="F25" s="2">
        <v>62040610</v>
      </c>
      <c r="G25" s="2">
        <v>3012166</v>
      </c>
      <c r="H25" t="s">
        <v>39</v>
      </c>
      <c r="I25" t="s">
        <v>13</v>
      </c>
      <c r="J25" s="11">
        <f>Table1[[#This Row],[Votes]]-Table1[[#This Row],[Margin2]]</f>
        <v>59028444</v>
      </c>
      <c r="K25" s="1">
        <v>0.60099999999999998</v>
      </c>
      <c r="L25" s="11">
        <f>Table1[[#This Row],[RU Votes]]+Table1[[#This Row],[Votes]]</f>
        <v>121069054</v>
      </c>
    </row>
    <row r="26" spans="1:12" x14ac:dyDescent="0.35">
      <c r="A26">
        <v>2008</v>
      </c>
      <c r="B26" t="s">
        <v>40</v>
      </c>
      <c r="C26" t="s">
        <v>13</v>
      </c>
      <c r="D26" s="1">
        <v>0.52929999999999999</v>
      </c>
      <c r="E26" s="1">
        <v>7.2700000000000001E-2</v>
      </c>
      <c r="F26" s="2">
        <v>69498516</v>
      </c>
      <c r="G26" s="2">
        <v>9550193</v>
      </c>
      <c r="H26" t="s">
        <v>41</v>
      </c>
      <c r="I26" t="s">
        <v>11</v>
      </c>
      <c r="J26" s="11">
        <f>Table1[[#This Row],[Votes]]-Table1[[#This Row],[Margin2]]</f>
        <v>59948323</v>
      </c>
      <c r="K26" s="1">
        <v>0.61599999999999999</v>
      </c>
      <c r="L26" s="11">
        <f>Table1[[#This Row],[RU Votes]]+Table1[[#This Row],[Votes]]</f>
        <v>129446839</v>
      </c>
    </row>
    <row r="27" spans="1:12" x14ac:dyDescent="0.35">
      <c r="A27">
        <v>2012</v>
      </c>
      <c r="B27" t="s">
        <v>40</v>
      </c>
      <c r="C27" t="s">
        <v>13</v>
      </c>
      <c r="D27" s="1">
        <v>0.51060000000000005</v>
      </c>
      <c r="E27" s="1">
        <v>3.8600000000000002E-2</v>
      </c>
      <c r="F27" s="2">
        <v>65915795</v>
      </c>
      <c r="G27" s="2">
        <v>4982291</v>
      </c>
      <c r="H27" t="s">
        <v>42</v>
      </c>
      <c r="I27" t="s">
        <v>11</v>
      </c>
      <c r="J27" s="11">
        <f>Table1[[#This Row],[Votes]]-Table1[[#This Row],[Margin2]]</f>
        <v>60933504</v>
      </c>
      <c r="K27" s="1">
        <v>0.58599999999999997</v>
      </c>
      <c r="L27" s="11">
        <f>Table1[[#This Row],[RU Votes]]+Table1[[#This Row],[Votes]]</f>
        <v>126849299</v>
      </c>
    </row>
    <row r="28" spans="1:12" x14ac:dyDescent="0.35">
      <c r="A28">
        <v>2016</v>
      </c>
      <c r="B28" t="s">
        <v>43</v>
      </c>
      <c r="C28" t="s">
        <v>11</v>
      </c>
      <c r="D28" s="1">
        <v>0.46089999999999998</v>
      </c>
      <c r="E28" s="1">
        <v>-2.0899999999999998E-2</v>
      </c>
      <c r="F28" s="2">
        <v>62984828</v>
      </c>
      <c r="G28" s="2">
        <v>-2868686</v>
      </c>
      <c r="H28" t="s">
        <v>44</v>
      </c>
      <c r="I28" t="s">
        <v>13</v>
      </c>
      <c r="J28" s="11">
        <f>Table1[[#This Row],[Votes]]-Table1[[#This Row],[Margin2]]</f>
        <v>65853514</v>
      </c>
      <c r="K28" s="1">
        <v>0.57299999999999995</v>
      </c>
      <c r="L28" s="11">
        <f>Table1[[#This Row],[RU Votes]]+Table1[[#This Row],[Votes]]</f>
        <v>128838342</v>
      </c>
    </row>
    <row r="29" spans="1:12" x14ac:dyDescent="0.35">
      <c r="A29">
        <v>2020</v>
      </c>
      <c r="B29" t="s">
        <v>45</v>
      </c>
      <c r="C29" t="s">
        <v>13</v>
      </c>
      <c r="D29" s="1">
        <v>0.5131</v>
      </c>
      <c r="E29" s="1">
        <v>4.4499999999999998E-2</v>
      </c>
      <c r="F29" s="2">
        <v>81283501</v>
      </c>
      <c r="G29" s="2">
        <v>7059526</v>
      </c>
      <c r="H29" t="s">
        <v>43</v>
      </c>
      <c r="I29" t="s">
        <v>11</v>
      </c>
      <c r="J29" s="11">
        <f>Table1[[#This Row],[Votes]]-Table1[[#This Row],[Margin2]]</f>
        <v>74223975</v>
      </c>
      <c r="K29" s="1">
        <v>0.66600000000000004</v>
      </c>
      <c r="L29" s="11">
        <f>Table1[[#This Row],[RU Votes]]+Table1[[#This Row],[Votes]]</f>
        <v>155507476</v>
      </c>
    </row>
    <row r="30" spans="1:12" x14ac:dyDescent="0.35">
      <c r="A30">
        <v>2024</v>
      </c>
      <c r="B30" t="s">
        <v>43</v>
      </c>
      <c r="C30" t="s">
        <v>11</v>
      </c>
      <c r="D30" s="1"/>
      <c r="E30" s="1"/>
      <c r="F30" s="2">
        <v>74834590</v>
      </c>
      <c r="G30" s="2">
        <f>Table1[[#This Row],[Votes]]-G33</f>
        <v>3594735</v>
      </c>
      <c r="H30" t="s">
        <v>46</v>
      </c>
      <c r="I30" t="s">
        <v>13</v>
      </c>
      <c r="J30" s="11">
        <f>Table1[[#This Row],[Votes]]-Table1[[#This Row],[Margin2]]</f>
        <v>71239855</v>
      </c>
      <c r="K30" s="1"/>
      <c r="L30" s="11">
        <f>Table1[[#This Row],[RU Votes]]+Table1[[#This Row],[Votes]]</f>
        <v>146074445</v>
      </c>
    </row>
    <row r="33" spans="7:7" x14ac:dyDescent="0.35">
      <c r="G33" s="23">
        <v>71239855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BB03-DCAE-4345-B880-E3DFEC922059}">
  <dimension ref="A1:M30"/>
  <sheetViews>
    <sheetView workbookViewId="0">
      <selection activeCell="C30" sqref="C30"/>
    </sheetView>
  </sheetViews>
  <sheetFormatPr defaultRowHeight="14.5" x14ac:dyDescent="0.35"/>
  <cols>
    <col min="2" max="3" width="13.81640625" bestFit="1" customWidth="1"/>
    <col min="4" max="4" width="14.81640625" bestFit="1" customWidth="1"/>
    <col min="7" max="7" width="13.81640625" bestFit="1" customWidth="1"/>
    <col min="10" max="10" width="14.453125" bestFit="1" customWidth="1"/>
    <col min="13" max="13" width="14.81640625" bestFit="1" customWidth="1"/>
  </cols>
  <sheetData>
    <row r="1" spans="1:13" ht="16.5" thickBot="1" x14ac:dyDescent="0.45">
      <c r="A1" s="3" t="s">
        <v>0</v>
      </c>
      <c r="B1" t="s">
        <v>13</v>
      </c>
      <c r="C1" t="s">
        <v>11</v>
      </c>
      <c r="D1" t="s">
        <v>55</v>
      </c>
      <c r="F1" s="43" t="s">
        <v>61</v>
      </c>
      <c r="G1" s="43"/>
      <c r="H1" s="24"/>
      <c r="I1" s="44" t="s">
        <v>64</v>
      </c>
      <c r="J1" s="44"/>
      <c r="K1" s="24"/>
      <c r="L1" s="45" t="s">
        <v>55</v>
      </c>
      <c r="M1" s="45"/>
    </row>
    <row r="2" spans="1:13" ht="15" thickTop="1" x14ac:dyDescent="0.35">
      <c r="A2">
        <v>1912</v>
      </c>
      <c r="B2" s="2">
        <f>IF(Table1[[#This Row],[Party]]=Table2[[#Headers],[Dem.]],Table1[[#This Row],[Votes]],Table1[[#This Row],[RU Votes]])</f>
        <v>6296284</v>
      </c>
      <c r="C2" s="2">
        <f>IF(Table1[[#This Row],[Party]]=Table2[[#Headers],[Rep.]],Table1[[#This Row],[Votes]],Table1[[#This Row],[RU Votes]])</f>
        <v>4122721</v>
      </c>
      <c r="D2" s="11">
        <f>Table2[[#This Row],[Rep.]]+Table2[[#This Row],[Dem.]]</f>
        <v>10419005</v>
      </c>
      <c r="F2" s="17" t="s">
        <v>62</v>
      </c>
      <c r="G2" s="17" t="s">
        <v>63</v>
      </c>
      <c r="H2" s="14"/>
      <c r="I2" s="17" t="s">
        <v>62</v>
      </c>
      <c r="J2" s="17" t="s">
        <v>63</v>
      </c>
      <c r="L2" s="17" t="s">
        <v>62</v>
      </c>
      <c r="M2" s="17" t="s">
        <v>63</v>
      </c>
    </row>
    <row r="3" spans="1:13" x14ac:dyDescent="0.35">
      <c r="A3">
        <v>1916</v>
      </c>
      <c r="B3" s="2">
        <f>IF(Table1[[#This Row],[Party]]=Table2[[#Headers],[Dem.]],Table1[[#This Row],[Votes]],Table1[[#This Row],[RU Votes]])</f>
        <v>9126868</v>
      </c>
      <c r="C3" s="2">
        <f>IF(Table1[[#This Row],[Party]]=Table2[[#Headers],[Rep.]],Table1[[#This Row],[Votes]],Table1[[#This Row],[RU Votes]])</f>
        <v>8548728</v>
      </c>
      <c r="D3" s="11">
        <f>Table2[[#This Row],[Rep.]]+Table2[[#This Row],[Dem.]]</f>
        <v>17675596</v>
      </c>
      <c r="F3" s="15" t="s">
        <v>56</v>
      </c>
      <c r="G3" s="16">
        <f>MIN(Table2[Dem.])</f>
        <v>6296284</v>
      </c>
      <c r="I3" s="15" t="s">
        <v>56</v>
      </c>
      <c r="J3" s="16">
        <f>MIN(Table2[Rep.])</f>
        <v>4122721</v>
      </c>
      <c r="L3" s="15" t="s">
        <v>56</v>
      </c>
      <c r="M3" s="16">
        <f>MIN(Table2[Total])</f>
        <v>10419005</v>
      </c>
    </row>
    <row r="4" spans="1:13" x14ac:dyDescent="0.35">
      <c r="A4">
        <v>1920</v>
      </c>
      <c r="B4" s="2">
        <f>IF(Table1[[#This Row],[Party]]=Table2[[#Headers],[Dem.]],Table1[[#This Row],[Votes]],Table1[[#This Row],[RU Votes]])</f>
        <v>9139661</v>
      </c>
      <c r="C4" s="2">
        <f>IF(Table1[[#This Row],[Party]]=Table2[[#Headers],[Rep.]],Table1[[#This Row],[Votes]],Table1[[#This Row],[RU Votes]])</f>
        <v>16144093</v>
      </c>
      <c r="D4" s="11">
        <f>Table2[[#This Row],[Rep.]]+Table2[[#This Row],[Dem.]]</f>
        <v>25283754</v>
      </c>
      <c r="F4" s="15" t="s">
        <v>58</v>
      </c>
      <c r="G4" s="16">
        <f>_xlfn.QUARTILE.INC(Table2[Dem.],1)</f>
        <v>25612916</v>
      </c>
      <c r="I4" s="15" t="s">
        <v>58</v>
      </c>
      <c r="J4" s="16">
        <f>_xlfn.QUARTILE.INC(Table2[Rep.],1)</f>
        <v>21991292</v>
      </c>
      <c r="L4" s="15" t="s">
        <v>58</v>
      </c>
      <c r="M4" s="16">
        <f>_xlfn.QUARTILE.INC(Table2[Total],1)</f>
        <v>46170639</v>
      </c>
    </row>
    <row r="5" spans="1:13" x14ac:dyDescent="0.35">
      <c r="A5">
        <v>1924</v>
      </c>
      <c r="B5" s="2">
        <f>IF(Table1[[#This Row],[Party]]=Table2[[#Headers],[Dem.]],Table1[[#This Row],[Votes]],Table1[[#This Row],[RU Votes]])</f>
        <v>8386242</v>
      </c>
      <c r="C5" s="2">
        <f>IF(Table1[[#This Row],[Party]]=Table2[[#Headers],[Rep.]],Table1[[#This Row],[Votes]],Table1[[#This Row],[RU Votes]])</f>
        <v>15723789</v>
      </c>
      <c r="D5" s="11">
        <f>Table2[[#This Row],[Rep.]]+Table2[[#This Row],[Dem.]]</f>
        <v>24110031</v>
      </c>
      <c r="F5" s="15" t="s">
        <v>59</v>
      </c>
      <c r="G5" s="16">
        <f>MEDIAN(Table2[Dem.])</f>
        <v>34220984</v>
      </c>
      <c r="I5" s="15" t="s">
        <v>59</v>
      </c>
      <c r="J5" s="16">
        <f>MEDIAN(Table2[Rep.])</f>
        <v>35579180</v>
      </c>
      <c r="L5" s="15" t="s">
        <v>59</v>
      </c>
      <c r="M5" s="16">
        <f>MEDIAN(Table2[Total])</f>
        <v>70304794</v>
      </c>
    </row>
    <row r="6" spans="1:13" x14ac:dyDescent="0.35">
      <c r="A6">
        <v>1928</v>
      </c>
      <c r="B6" s="2">
        <f>IF(Table1[[#This Row],[Party]]=Table2[[#Headers],[Dem.]],Table1[[#This Row],[Votes]],Table1[[#This Row],[RU Votes]])</f>
        <v>15015464</v>
      </c>
      <c r="C6" s="2">
        <f>IF(Table1[[#This Row],[Party]]=Table2[[#Headers],[Rep.]],Table1[[#This Row],[Votes]],Table1[[#This Row],[RU Votes]])</f>
        <v>21427123</v>
      </c>
      <c r="D6" s="11">
        <f>Table2[[#This Row],[Rep.]]+Table2[[#This Row],[Dem.]]</f>
        <v>36442587</v>
      </c>
      <c r="F6" s="15" t="s">
        <v>60</v>
      </c>
      <c r="G6" s="16">
        <f>_xlfn.QUARTILE.INC(Table2[Dem.],3)</f>
        <v>47401185</v>
      </c>
      <c r="I6" s="15" t="s">
        <v>60</v>
      </c>
      <c r="J6" s="16">
        <f>_xlfn.QUARTILE.INC(Table2[Rep.],3)</f>
        <v>50456002</v>
      </c>
      <c r="L6" s="15" t="s">
        <v>60</v>
      </c>
      <c r="M6" s="16">
        <f>_xlfn.QUARTILE.INC(Table2[Total],3)</f>
        <v>92032824</v>
      </c>
    </row>
    <row r="7" spans="1:13" x14ac:dyDescent="0.35">
      <c r="A7">
        <v>1932</v>
      </c>
      <c r="B7" s="2">
        <f>IF(Table1[[#This Row],[Party]]=Table2[[#Headers],[Dem.]],Table1[[#This Row],[Votes]],Table1[[#This Row],[RU Votes]])</f>
        <v>22821277</v>
      </c>
      <c r="C7" s="2">
        <f>IF(Table1[[#This Row],[Party]]=Table2[[#Headers],[Rep.]],Table1[[#This Row],[Votes]],Table1[[#This Row],[RU Votes]])</f>
        <v>15761254</v>
      </c>
      <c r="D7" s="11">
        <f>Table2[[#This Row],[Rep.]]+Table2[[#This Row],[Dem.]]</f>
        <v>38582531</v>
      </c>
      <c r="F7" s="15" t="s">
        <v>57</v>
      </c>
      <c r="G7" s="16">
        <f>MAX(Table2[Dem.])</f>
        <v>81283501</v>
      </c>
      <c r="I7" s="15" t="s">
        <v>57</v>
      </c>
      <c r="J7" s="16">
        <f>MAX(Table2[Rep.])</f>
        <v>74834590</v>
      </c>
      <c r="L7" s="15" t="s">
        <v>57</v>
      </c>
      <c r="M7" s="16">
        <f>MAX(Table2[Total])</f>
        <v>155507476</v>
      </c>
    </row>
    <row r="8" spans="1:13" x14ac:dyDescent="0.35">
      <c r="A8">
        <v>1936</v>
      </c>
      <c r="B8" s="2">
        <f>IF(Table1[[#This Row],[Party]]=Table2[[#Headers],[Dem.]],Table1[[#This Row],[Votes]],Table1[[#This Row],[RU Votes]])</f>
        <v>27752648</v>
      </c>
      <c r="C8" s="2">
        <f>IF(Table1[[#This Row],[Party]]=Table2[[#Headers],[Rep.]],Table1[[#This Row],[Votes]],Table1[[#This Row],[RU Votes]])</f>
        <v>16681862</v>
      </c>
      <c r="D8" s="11">
        <f>Table2[[#This Row],[Rep.]]+Table2[[#This Row],[Dem.]]</f>
        <v>44434510</v>
      </c>
      <c r="F8" s="15" t="s">
        <v>65</v>
      </c>
      <c r="G8" s="16">
        <f>AVERAGE(Table2[Dem.])</f>
        <v>37195630.172413796</v>
      </c>
      <c r="I8" s="15" t="s">
        <v>65</v>
      </c>
      <c r="J8" s="16">
        <f>AVERAGE(Table2[Rep.])</f>
        <v>37406049.379310347</v>
      </c>
      <c r="L8" s="15" t="s">
        <v>65</v>
      </c>
      <c r="M8" s="16">
        <f>AVERAGE(Table2[Total])</f>
        <v>74601679.551724136</v>
      </c>
    </row>
    <row r="9" spans="1:13" x14ac:dyDescent="0.35">
      <c r="A9">
        <v>1940</v>
      </c>
      <c r="B9" s="2">
        <f>IF(Table1[[#This Row],[Party]]=Table2[[#Headers],[Dem.]],Table1[[#This Row],[Votes]],Table1[[#This Row],[RU Votes]])</f>
        <v>27313945</v>
      </c>
      <c r="C9" s="2">
        <f>IF(Table1[[#This Row],[Party]]=Table2[[#Headers],[Rep.]],Table1[[#This Row],[Votes]],Table1[[#This Row],[RU Votes]])</f>
        <v>22347744</v>
      </c>
      <c r="D9" s="11">
        <f>Table2[[#This Row],[Rep.]]+Table2[[#This Row],[Dem.]]</f>
        <v>49661689</v>
      </c>
      <c r="F9" s="15" t="s">
        <v>66</v>
      </c>
      <c r="G9" s="16">
        <f>_xlfn.STDEV.S(Table2[Dem.])</f>
        <v>20331383.353114277</v>
      </c>
      <c r="I9" s="15" t="s">
        <v>66</v>
      </c>
      <c r="J9" s="16">
        <f>_xlfn.STDEV.S(Table2[Rep.])</f>
        <v>19546185.49489047</v>
      </c>
      <c r="L9" s="15" t="s">
        <v>66</v>
      </c>
      <c r="M9" s="16">
        <f>_xlfn.STDEV.S(Table2[Total])</f>
        <v>39078683.747370377</v>
      </c>
    </row>
    <row r="10" spans="1:13" x14ac:dyDescent="0.35">
      <c r="A10">
        <v>1944</v>
      </c>
      <c r="B10" s="2">
        <f>IF(Table1[[#This Row],[Party]]=Table2[[#Headers],[Dem.]],Table1[[#This Row],[Votes]],Table1[[#This Row],[RU Votes]])</f>
        <v>25612916</v>
      </c>
      <c r="C10" s="2">
        <f>IF(Table1[[#This Row],[Party]]=Table2[[#Headers],[Rep.]],Table1[[#This Row],[Votes]],Table1[[#This Row],[RU Votes]])</f>
        <v>22017929</v>
      </c>
      <c r="D10" s="11">
        <f>Table2[[#This Row],[Rep.]]+Table2[[#This Row],[Dem.]]</f>
        <v>47630845</v>
      </c>
      <c r="F10" s="15" t="s">
        <v>67</v>
      </c>
      <c r="G10" s="18">
        <f>G6-G4</f>
        <v>21788269</v>
      </c>
      <c r="I10" s="15" t="s">
        <v>67</v>
      </c>
      <c r="J10" s="18">
        <f>J6-J4</f>
        <v>28464710</v>
      </c>
      <c r="L10" s="15" t="s">
        <v>67</v>
      </c>
      <c r="M10" s="18">
        <f>M6-M4</f>
        <v>45862185</v>
      </c>
    </row>
    <row r="11" spans="1:13" x14ac:dyDescent="0.35">
      <c r="A11">
        <v>1948</v>
      </c>
      <c r="B11" s="2">
        <f>IF(Table1[[#This Row],[Party]]=Table2[[#Headers],[Dem.]],Table1[[#This Row],[Votes]],Table1[[#This Row],[RU Votes]])</f>
        <v>24179347</v>
      </c>
      <c r="C11" s="2">
        <f>IF(Table1[[#This Row],[Party]]=Table2[[#Headers],[Rep.]],Table1[[#This Row],[Votes]],Table1[[#This Row],[RU Votes]])</f>
        <v>21991292</v>
      </c>
      <c r="D11" s="11">
        <f>Table2[[#This Row],[Rep.]]+Table2[[#This Row],[Dem.]]</f>
        <v>46170639</v>
      </c>
      <c r="F11" s="15" t="s">
        <v>68</v>
      </c>
      <c r="G11" s="18">
        <f>G4-(G10*1.5)</f>
        <v>-7069487.5</v>
      </c>
      <c r="I11" s="15" t="s">
        <v>68</v>
      </c>
      <c r="J11" s="18">
        <f>J4-(J10*1.5)</f>
        <v>-20705773</v>
      </c>
      <c r="L11" s="15" t="s">
        <v>68</v>
      </c>
      <c r="M11" s="18">
        <f>M4-(M10*1.5)</f>
        <v>-22622638.5</v>
      </c>
    </row>
    <row r="12" spans="1:13" x14ac:dyDescent="0.35">
      <c r="A12">
        <v>1952</v>
      </c>
      <c r="B12" s="2">
        <f>IF(Table1[[#This Row],[Party]]=Table2[[#Headers],[Dem.]],Table1[[#This Row],[Votes]],Table1[[#This Row],[RU Votes]])</f>
        <v>27375090</v>
      </c>
      <c r="C12" s="2">
        <f>IF(Table1[[#This Row],[Party]]=Table2[[#Headers],[Rep.]],Table1[[#This Row],[Votes]],Table1[[#This Row],[RU Votes]])</f>
        <v>34075529</v>
      </c>
      <c r="D12" s="11">
        <f>Table2[[#This Row],[Rep.]]+Table2[[#This Row],[Dem.]]</f>
        <v>61450619</v>
      </c>
      <c r="F12" s="15" t="s">
        <v>69</v>
      </c>
      <c r="G12" s="18">
        <f>G6+(G10*1.5)</f>
        <v>80083588.5</v>
      </c>
      <c r="I12" s="15" t="s">
        <v>69</v>
      </c>
      <c r="J12" s="18">
        <f>J6+(J10*1.5)</f>
        <v>93153067</v>
      </c>
      <c r="L12" s="15" t="s">
        <v>69</v>
      </c>
      <c r="M12" s="18">
        <f>M6+(M10*1.5)</f>
        <v>160826101.5</v>
      </c>
    </row>
    <row r="13" spans="1:13" x14ac:dyDescent="0.35">
      <c r="A13">
        <v>1956</v>
      </c>
      <c r="B13" s="2">
        <f>IF(Table1[[#This Row],[Party]]=Table2[[#Headers],[Dem.]],Table1[[#This Row],[Votes]],Table1[[#This Row],[RU Votes]])</f>
        <v>26028028</v>
      </c>
      <c r="C13" s="2">
        <f>IF(Table1[[#This Row],[Party]]=Table2[[#Headers],[Rep.]],Table1[[#This Row],[Votes]],Table1[[#This Row],[RU Votes]])</f>
        <v>35579180</v>
      </c>
      <c r="D13" s="11">
        <f>Table2[[#This Row],[Rep.]]+Table2[[#This Row],[Dem.]]</f>
        <v>61607208</v>
      </c>
    </row>
    <row r="14" spans="1:13" x14ac:dyDescent="0.35">
      <c r="A14">
        <v>1960</v>
      </c>
      <c r="B14" s="2">
        <f>IF(Table1[[#This Row],[Party]]=Table2[[#Headers],[Dem.]],Table1[[#This Row],[Votes]],Table1[[#This Row],[RU Votes]])</f>
        <v>34220984</v>
      </c>
      <c r="C14" s="2">
        <f>IF(Table1[[#This Row],[Party]]=Table2[[#Headers],[Rep.]],Table1[[#This Row],[Votes]],Table1[[#This Row],[RU Votes]])</f>
        <v>34108157</v>
      </c>
      <c r="D14" s="11">
        <f>Table2[[#This Row],[Rep.]]+Table2[[#This Row],[Dem.]]</f>
        <v>68329141</v>
      </c>
    </row>
    <row r="15" spans="1:13" x14ac:dyDescent="0.35">
      <c r="A15">
        <v>1964</v>
      </c>
      <c r="B15" s="2">
        <f>IF(Table1[[#This Row],[Party]]=Table2[[#Headers],[Dem.]],Table1[[#This Row],[Votes]],Table1[[#This Row],[RU Votes]])</f>
        <v>43129040</v>
      </c>
      <c r="C15" s="2">
        <f>IF(Table1[[#This Row],[Party]]=Table2[[#Headers],[Rep.]],Table1[[#This Row],[Votes]],Table1[[#This Row],[RU Votes]])</f>
        <v>27175754</v>
      </c>
      <c r="D15" s="11">
        <f>Table2[[#This Row],[Rep.]]+Table2[[#This Row],[Dem.]]</f>
        <v>70304794</v>
      </c>
    </row>
    <row r="16" spans="1:13" x14ac:dyDescent="0.35">
      <c r="A16">
        <v>1968</v>
      </c>
      <c r="B16" s="2">
        <f>IF(Table1[[#This Row],[Party]]=Table2[[#Headers],[Dem.]],Table1[[#This Row],[Votes]],Table1[[#This Row],[RU Votes]])</f>
        <v>31271839</v>
      </c>
      <c r="C16" s="2">
        <f>IF(Table1[[#This Row],[Party]]=Table2[[#Headers],[Rep.]],Table1[[#This Row],[Votes]],Table1[[#This Row],[RU Votes]])</f>
        <v>31783783</v>
      </c>
      <c r="D16" s="11">
        <f>Table2[[#This Row],[Rep.]]+Table2[[#This Row],[Dem.]]</f>
        <v>63055622</v>
      </c>
    </row>
    <row r="17" spans="1:4" x14ac:dyDescent="0.35">
      <c r="A17">
        <v>1972</v>
      </c>
      <c r="B17" s="2">
        <f>IF(Table1[[#This Row],[Party]]=Table2[[#Headers],[Dem.]],Table1[[#This Row],[Votes]],Table1[[#This Row],[RU Votes]])</f>
        <v>29173222</v>
      </c>
      <c r="C17" s="2">
        <f>IF(Table1[[#This Row],[Party]]=Table2[[#Headers],[Rep.]],Table1[[#This Row],[Votes]],Table1[[#This Row],[RU Votes]])</f>
        <v>47168710</v>
      </c>
      <c r="D17" s="11">
        <f>Table2[[#This Row],[Rep.]]+Table2[[#This Row],[Dem.]]</f>
        <v>76341932</v>
      </c>
    </row>
    <row r="18" spans="1:4" x14ac:dyDescent="0.35">
      <c r="A18">
        <v>1976</v>
      </c>
      <c r="B18" s="2">
        <f>IF(Table1[[#This Row],[Party]]=Table2[[#Headers],[Dem.]],Table1[[#This Row],[Votes]],Table1[[#This Row],[RU Votes]])</f>
        <v>40831881</v>
      </c>
      <c r="C18" s="2">
        <f>IF(Table1[[#This Row],[Party]]=Table2[[#Headers],[Rep.]],Table1[[#This Row],[Votes]],Table1[[#This Row],[RU Votes]])</f>
        <v>39148634</v>
      </c>
      <c r="D18" s="11">
        <f>Table2[[#This Row],[Rep.]]+Table2[[#This Row],[Dem.]]</f>
        <v>79980515</v>
      </c>
    </row>
    <row r="19" spans="1:4" x14ac:dyDescent="0.35">
      <c r="A19">
        <v>1980</v>
      </c>
      <c r="B19" s="2">
        <f>IF(Table1[[#This Row],[Party]]=Table2[[#Headers],[Dem.]],Table1[[#This Row],[Votes]],Table1[[#This Row],[RU Votes]])</f>
        <v>35481115</v>
      </c>
      <c r="C19" s="2">
        <f>IF(Table1[[#This Row],[Party]]=Table2[[#Headers],[Rep.]],Table1[[#This Row],[Votes]],Table1[[#This Row],[RU Votes]])</f>
        <v>43903230</v>
      </c>
      <c r="D19" s="11">
        <f>Table2[[#This Row],[Rep.]]+Table2[[#This Row],[Dem.]]</f>
        <v>79384345</v>
      </c>
    </row>
    <row r="20" spans="1:4" x14ac:dyDescent="0.35">
      <c r="A20">
        <v>1984</v>
      </c>
      <c r="B20" s="2">
        <f>IF(Table1[[#This Row],[Party]]=Table2[[#Headers],[Dem.]],Table1[[#This Row],[Votes]],Table1[[#This Row],[RU Votes]])</f>
        <v>37577352</v>
      </c>
      <c r="C20" s="2">
        <f>IF(Table1[[#This Row],[Party]]=Table2[[#Headers],[Rep.]],Table1[[#This Row],[Votes]],Table1[[#This Row],[RU Votes]])</f>
        <v>54455472</v>
      </c>
      <c r="D20" s="11">
        <f>Table2[[#This Row],[Rep.]]+Table2[[#This Row],[Dem.]]</f>
        <v>92032824</v>
      </c>
    </row>
    <row r="21" spans="1:4" x14ac:dyDescent="0.35">
      <c r="A21">
        <v>1988</v>
      </c>
      <c r="B21" s="2">
        <f>IF(Table1[[#This Row],[Party]]=Table2[[#Headers],[Dem.]],Table1[[#This Row],[Votes]],Table1[[#This Row],[RU Votes]])</f>
        <v>41809476</v>
      </c>
      <c r="C21" s="2">
        <f>IF(Table1[[#This Row],[Party]]=Table2[[#Headers],[Rep.]],Table1[[#This Row],[Votes]],Table1[[#This Row],[RU Votes]])</f>
        <v>48886597</v>
      </c>
      <c r="D21" s="11">
        <f>Table2[[#This Row],[Rep.]]+Table2[[#This Row],[Dem.]]</f>
        <v>90696073</v>
      </c>
    </row>
    <row r="22" spans="1:4" x14ac:dyDescent="0.35">
      <c r="A22">
        <v>1992</v>
      </c>
      <c r="B22" s="2">
        <f>IF(Table1[[#This Row],[Party]]=Table2[[#Headers],[Dem.]],Table1[[#This Row],[Votes]],Table1[[#This Row],[RU Votes]])</f>
        <v>44909889</v>
      </c>
      <c r="C22" s="2">
        <f>IF(Table1[[#This Row],[Party]]=Table2[[#Headers],[Rep.]],Table1[[#This Row],[Votes]],Table1[[#This Row],[RU Votes]])</f>
        <v>39104550</v>
      </c>
      <c r="D22" s="11">
        <f>Table2[[#This Row],[Rep.]]+Table2[[#This Row],[Dem.]]</f>
        <v>84014439</v>
      </c>
    </row>
    <row r="23" spans="1:4" x14ac:dyDescent="0.35">
      <c r="A23">
        <v>1996</v>
      </c>
      <c r="B23" s="2">
        <f>IF(Table1[[#This Row],[Party]]=Table2[[#Headers],[Dem.]],Table1[[#This Row],[Votes]],Table1[[#This Row],[RU Votes]])</f>
        <v>47401185</v>
      </c>
      <c r="C23" s="2">
        <f>IF(Table1[[#This Row],[Party]]=Table2[[#Headers],[Rep.]],Table1[[#This Row],[Votes]],Table1[[#This Row],[RU Votes]])</f>
        <v>39197469</v>
      </c>
      <c r="D23" s="11">
        <f>Table2[[#This Row],[Rep.]]+Table2[[#This Row],[Dem.]]</f>
        <v>86598654</v>
      </c>
    </row>
    <row r="24" spans="1:4" x14ac:dyDescent="0.35">
      <c r="A24">
        <v>2000</v>
      </c>
      <c r="B24" s="2">
        <f>IF(Table1[[#This Row],[Party]]=Table2[[#Headers],[Dem.]],Table1[[#This Row],[Votes]],Table1[[#This Row],[RU Votes]])</f>
        <v>50999897</v>
      </c>
      <c r="C24" s="2">
        <f>IF(Table1[[#This Row],[Party]]=Table2[[#Headers],[Rep.]],Table1[[#This Row],[Votes]],Table1[[#This Row],[RU Votes]])</f>
        <v>50456002</v>
      </c>
      <c r="D24" s="11">
        <f>Table2[[#This Row],[Rep.]]+Table2[[#This Row],[Dem.]]</f>
        <v>101455899</v>
      </c>
    </row>
    <row r="25" spans="1:4" x14ac:dyDescent="0.35">
      <c r="A25">
        <v>2004</v>
      </c>
      <c r="B25" s="2">
        <f>IF(Table1[[#This Row],[Party]]=Table2[[#Headers],[Dem.]],Table1[[#This Row],[Votes]],Table1[[#This Row],[RU Votes]])</f>
        <v>59028444</v>
      </c>
      <c r="C25" s="2">
        <f>IF(Table1[[#This Row],[Party]]=Table2[[#Headers],[Rep.]],Table1[[#This Row],[Votes]],Table1[[#This Row],[RU Votes]])</f>
        <v>62040610</v>
      </c>
      <c r="D25" s="11">
        <f>Table2[[#This Row],[Rep.]]+Table2[[#This Row],[Dem.]]</f>
        <v>121069054</v>
      </c>
    </row>
    <row r="26" spans="1:4" x14ac:dyDescent="0.35">
      <c r="A26">
        <v>2008</v>
      </c>
      <c r="B26" s="2">
        <f>IF(Table1[[#This Row],[Party]]=Table2[[#Headers],[Dem.]],Table1[[#This Row],[Votes]],Table1[[#This Row],[RU Votes]])</f>
        <v>69498516</v>
      </c>
      <c r="C26" s="2">
        <f>IF(Table1[[#This Row],[Party]]=Table2[[#Headers],[Rep.]],Table1[[#This Row],[Votes]],Table1[[#This Row],[RU Votes]])</f>
        <v>59948323</v>
      </c>
      <c r="D26" s="11">
        <f>Table2[[#This Row],[Rep.]]+Table2[[#This Row],[Dem.]]</f>
        <v>129446839</v>
      </c>
    </row>
    <row r="27" spans="1:4" x14ac:dyDescent="0.35">
      <c r="A27">
        <v>2012</v>
      </c>
      <c r="B27" s="2">
        <f>IF(Table1[[#This Row],[Party]]=Table2[[#Headers],[Dem.]],Table1[[#This Row],[Votes]],Table1[[#This Row],[RU Votes]])</f>
        <v>65915795</v>
      </c>
      <c r="C27" s="2">
        <f>IF(Table1[[#This Row],[Party]]=Table2[[#Headers],[Rep.]],Table1[[#This Row],[Votes]],Table1[[#This Row],[RU Votes]])</f>
        <v>60933504</v>
      </c>
      <c r="D27" s="11">
        <f>Table2[[#This Row],[Rep.]]+Table2[[#This Row],[Dem.]]</f>
        <v>126849299</v>
      </c>
    </row>
    <row r="28" spans="1:4" x14ac:dyDescent="0.35">
      <c r="A28">
        <v>2016</v>
      </c>
      <c r="B28" s="2">
        <f>IF(Table1[[#This Row],[Party]]=Table2[[#Headers],[Dem.]],Table1[[#This Row],[Votes]],Table1[[#This Row],[RU Votes]])</f>
        <v>65853514</v>
      </c>
      <c r="C28" s="2">
        <f>IF(Table1[[#This Row],[Party]]=Table2[[#Headers],[Rep.]],Table1[[#This Row],[Votes]],Table1[[#This Row],[RU Votes]])</f>
        <v>62984828</v>
      </c>
      <c r="D28" s="11">
        <f>Table2[[#This Row],[Rep.]]+Table2[[#This Row],[Dem.]]</f>
        <v>128838342</v>
      </c>
    </row>
    <row r="29" spans="1:4" x14ac:dyDescent="0.35">
      <c r="A29">
        <v>2020</v>
      </c>
      <c r="B29" s="2">
        <f>IF(Table1[[#This Row],[Party]]=Table2[[#Headers],[Dem.]],Table1[[#This Row],[Votes]],Table1[[#This Row],[RU Votes]])</f>
        <v>81283501</v>
      </c>
      <c r="C29" s="2">
        <f>IF(Table1[[#This Row],[Party]]=Table2[[#Headers],[Rep.]],Table1[[#This Row],[Votes]],Table1[[#This Row],[RU Votes]])</f>
        <v>74223975</v>
      </c>
      <c r="D29" s="11">
        <f>Table2[[#This Row],[Rep.]]+Table2[[#This Row],[Dem.]]</f>
        <v>155507476</v>
      </c>
    </row>
    <row r="30" spans="1:4" x14ac:dyDescent="0.35">
      <c r="A30">
        <v>2024</v>
      </c>
      <c r="B30" s="2">
        <f>IF(Table1[[#This Row],[Party]]=Table2[[#Headers],[Dem.]],Table1[[#This Row],[Votes]],Table1[[#This Row],[RU Votes]])</f>
        <v>71239855</v>
      </c>
      <c r="C30" s="2">
        <f>IF(Table1[[#This Row],[Party]]=Table2[[#Headers],[Rep.]],Table1[[#This Row],[Votes]],Table1[[#This Row],[RU Votes]])</f>
        <v>74834590</v>
      </c>
      <c r="D30" s="11">
        <f>Table2[[#This Row],[Rep.]]+Table2[[#This Row],[Dem.]]</f>
        <v>146074445</v>
      </c>
    </row>
  </sheetData>
  <mergeCells count="3">
    <mergeCell ref="F1:G1"/>
    <mergeCell ref="I1:J1"/>
    <mergeCell ref="L1:M1"/>
  </mergeCells>
  <conditionalFormatting sqref="B2:B30">
    <cfRule type="cellIs" dxfId="4" priority="2" operator="greaterThan">
      <formula>$G$12</formula>
    </cfRule>
  </conditionalFormatting>
  <conditionalFormatting sqref="C2:C30">
    <cfRule type="cellIs" dxfId="3" priority="1" operator="greaterThan">
      <formula>$J$12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3FE2-5C6E-4A1F-9A44-D011B7A29CE4}">
  <dimension ref="A1:K30"/>
  <sheetViews>
    <sheetView workbookViewId="0">
      <selection activeCell="E30" sqref="E30"/>
    </sheetView>
  </sheetViews>
  <sheetFormatPr defaultRowHeight="14.5" x14ac:dyDescent="0.35"/>
  <cols>
    <col min="1" max="1" width="6.81640625" bestFit="1" customWidth="1"/>
    <col min="2" max="2" width="8.81640625" style="2" bestFit="1" customWidth="1"/>
    <col min="3" max="3" width="10.7265625" bestFit="1" customWidth="1"/>
    <col min="4" max="4" width="10.7265625" customWidth="1"/>
    <col min="5" max="5" width="8.1796875" bestFit="1" customWidth="1"/>
    <col min="6" max="6" width="10.6328125" bestFit="1" customWidth="1"/>
    <col min="7" max="7" width="10.6328125" customWidth="1"/>
    <col min="8" max="8" width="7.1796875" bestFit="1" customWidth="1"/>
    <col min="9" max="9" width="10.36328125" bestFit="1" customWidth="1"/>
    <col min="11" max="11" width="11.26953125" customWidth="1"/>
  </cols>
  <sheetData>
    <row r="1" spans="1:11" x14ac:dyDescent="0.35">
      <c r="A1" t="s">
        <v>0</v>
      </c>
      <c r="B1" s="2" t="s">
        <v>13</v>
      </c>
      <c r="C1" t="s">
        <v>70</v>
      </c>
      <c r="D1" t="s">
        <v>83</v>
      </c>
      <c r="E1" s="2" t="s">
        <v>11</v>
      </c>
      <c r="F1" t="s">
        <v>71</v>
      </c>
      <c r="G1" t="s">
        <v>86</v>
      </c>
      <c r="H1" t="s">
        <v>55</v>
      </c>
      <c r="I1" t="s">
        <v>72</v>
      </c>
      <c r="K1" t="s">
        <v>73</v>
      </c>
    </row>
    <row r="2" spans="1:11" x14ac:dyDescent="0.35">
      <c r="A2">
        <v>1912</v>
      </c>
      <c r="B2" s="20">
        <v>6296284</v>
      </c>
      <c r="C2" s="19">
        <f>(Table4[[#This Row],[Dem.]]-'DR Breakdown'!$G$8)/'DR Breakdown'!$G$9</f>
        <v>-1.5197857241563821</v>
      </c>
      <c r="D2" s="19" t="str">
        <f>IFERROR(Table4[[#This Row],[DZ-Score]]-C1,"-")</f>
        <v>-</v>
      </c>
      <c r="E2" s="20">
        <v>4122721</v>
      </c>
      <c r="F2" s="19">
        <f>(Table4[[#This Row],[Rep.]]-'DR Breakdown'!$J$8)/'DR Breakdown'!$J$9</f>
        <v>-1.7028042831175871</v>
      </c>
      <c r="G2" s="19" t="str">
        <f>IFERROR(Table4[[#This Row],[RZ-Score]]-F1,"-")</f>
        <v>-</v>
      </c>
      <c r="H2" s="20">
        <v>10419005</v>
      </c>
      <c r="I2" s="19">
        <f>(Table4[[#This Row],[Total]]-'DR Breakdown'!$M$8)/'DR Breakdown'!$M$9</f>
        <v>-1.6423960173951104</v>
      </c>
    </row>
    <row r="3" spans="1:11" x14ac:dyDescent="0.35">
      <c r="A3">
        <v>1916</v>
      </c>
      <c r="B3" s="20">
        <v>9126868</v>
      </c>
      <c r="C3" s="19">
        <f>(Table4[[#This Row],[Dem.]]-'DR Breakdown'!$G$8)/'DR Breakdown'!$G$9</f>
        <v>-1.3805633234550339</v>
      </c>
      <c r="D3" s="19">
        <f>IFERROR(Table4[[#This Row],[DZ-Score]]-C2,"-")</f>
        <v>0.13922240070134828</v>
      </c>
      <c r="E3" s="20">
        <v>8548728</v>
      </c>
      <c r="F3" s="19">
        <f>(Table4[[#This Row],[Rep.]]-'DR Breakdown'!$J$8)/'DR Breakdown'!$J$9</f>
        <v>-1.4763658815605676</v>
      </c>
      <c r="G3" s="19">
        <f>IFERROR(Table4[[#This Row],[RZ-Score]]-F2,"-")</f>
        <v>0.22643840155701955</v>
      </c>
      <c r="H3" s="20">
        <v>17675596</v>
      </c>
      <c r="I3" s="19">
        <f>(Table4[[#This Row],[Total]]-'DR Breakdown'!$M$8)/'DR Breakdown'!$M$9</f>
        <v>-1.4567042206367742</v>
      </c>
    </row>
    <row r="4" spans="1:11" x14ac:dyDescent="0.35">
      <c r="A4">
        <v>1920</v>
      </c>
      <c r="B4" s="20">
        <v>9139661</v>
      </c>
      <c r="C4" s="19">
        <f>(Table4[[#This Row],[Dem.]]-'DR Breakdown'!$G$8)/'DR Breakdown'!$G$9</f>
        <v>-1.3799340991775799</v>
      </c>
      <c r="D4" s="19">
        <f>IFERROR(Table4[[#This Row],[DZ-Score]]-C3,"-")</f>
        <v>6.292242774539325E-4</v>
      </c>
      <c r="E4" s="20">
        <v>16144093</v>
      </c>
      <c r="F4" s="19">
        <f>(Table4[[#This Row],[Rep.]]-'DR Breakdown'!$J$8)/'DR Breakdown'!$J$9</f>
        <v>-1.0877803438869642</v>
      </c>
      <c r="G4" s="19">
        <f>IFERROR(Table4[[#This Row],[RZ-Score]]-F3,"-")</f>
        <v>0.38858553767360338</v>
      </c>
      <c r="H4" s="20">
        <v>25283754</v>
      </c>
      <c r="I4" s="19">
        <f>(Table4[[#This Row],[Total]]-'DR Breakdown'!$M$8)/'DR Breakdown'!$M$9</f>
        <v>-1.26201603591735</v>
      </c>
    </row>
    <row r="5" spans="1:11" x14ac:dyDescent="0.35">
      <c r="A5">
        <v>1924</v>
      </c>
      <c r="B5" s="20">
        <v>8386242</v>
      </c>
      <c r="C5" s="19">
        <f>(Table4[[#This Row],[Dem.]]-'DR Breakdown'!$G$8)/'DR Breakdown'!$G$9</f>
        <v>-1.416991046406141</v>
      </c>
      <c r="D5" s="19">
        <f>IFERROR(Table4[[#This Row],[DZ-Score]]-C4,"-")</f>
        <v>-3.7056947228561121E-2</v>
      </c>
      <c r="E5" s="20">
        <v>15723789</v>
      </c>
      <c r="F5" s="19">
        <f>(Table4[[#This Row],[Rep.]]-'DR Breakdown'!$J$8)/'DR Breakdown'!$J$9</f>
        <v>-1.109283465307247</v>
      </c>
      <c r="G5" s="19">
        <f>IFERROR(Table4[[#This Row],[RZ-Score]]-F4,"-")</f>
        <v>-2.1503121420282767E-2</v>
      </c>
      <c r="H5" s="20">
        <v>24110031</v>
      </c>
      <c r="I5" s="19">
        <f>(Table4[[#This Row],[Total]]-'DR Breakdown'!$M$8)/'DR Breakdown'!$M$9</f>
        <v>-1.2920509011545647</v>
      </c>
    </row>
    <row r="6" spans="1:11" x14ac:dyDescent="0.35">
      <c r="A6">
        <v>1928</v>
      </c>
      <c r="B6" s="20">
        <v>15015464</v>
      </c>
      <c r="C6" s="19">
        <f>(Table4[[#This Row],[Dem.]]-'DR Breakdown'!$G$8)/'DR Breakdown'!$G$9</f>
        <v>-1.0909324656955195</v>
      </c>
      <c r="D6" s="19">
        <f>IFERROR(Table4[[#This Row],[DZ-Score]]-C5,"-")</f>
        <v>0.32605858071062155</v>
      </c>
      <c r="E6" s="20">
        <v>21427123</v>
      </c>
      <c r="F6" s="19">
        <f>(Table4[[#This Row],[Rep.]]-'DR Breakdown'!$J$8)/'DR Breakdown'!$J$9</f>
        <v>-0.81749589368664111</v>
      </c>
      <c r="G6" s="19">
        <f>IFERROR(Table4[[#This Row],[RZ-Score]]-F5,"-")</f>
        <v>0.29178757162060587</v>
      </c>
      <c r="H6" s="20">
        <v>36442587</v>
      </c>
      <c r="I6" s="19">
        <f>(Table4[[#This Row],[Total]]-'DR Breakdown'!$M$8)/'DR Breakdown'!$M$9</f>
        <v>-0.97646821470264789</v>
      </c>
    </row>
    <row r="7" spans="1:11" x14ac:dyDescent="0.35">
      <c r="A7">
        <v>1932</v>
      </c>
      <c r="B7" s="20">
        <v>22821277</v>
      </c>
      <c r="C7" s="19">
        <f>(Table4[[#This Row],[Dem.]]-'DR Breakdown'!$G$8)/'DR Breakdown'!$G$9</f>
        <v>-0.707003204000479</v>
      </c>
      <c r="D7" s="19">
        <f>IFERROR(Table4[[#This Row],[DZ-Score]]-C6,"-")</f>
        <v>0.38392926169504049</v>
      </c>
      <c r="E7" s="20">
        <v>15761254</v>
      </c>
      <c r="F7" s="19">
        <f>(Table4[[#This Row],[Rep.]]-'DR Breakdown'!$J$8)/'DR Breakdown'!$J$9</f>
        <v>-1.1073667230349611</v>
      </c>
      <c r="G7" s="19">
        <f>IFERROR(Table4[[#This Row],[RZ-Score]]-F6,"-")</f>
        <v>-0.28987082934831998</v>
      </c>
      <c r="H7" s="20">
        <v>38582531</v>
      </c>
      <c r="I7" s="19">
        <f>(Table4[[#This Row],[Total]]-'DR Breakdown'!$M$8)/'DR Breakdown'!$M$9</f>
        <v>-0.92170833553593989</v>
      </c>
    </row>
    <row r="8" spans="1:11" x14ac:dyDescent="0.35">
      <c r="A8">
        <v>1936</v>
      </c>
      <c r="B8" s="20">
        <v>27752648</v>
      </c>
      <c r="C8" s="19">
        <f>(Table4[[#This Row],[Dem.]]-'DR Breakdown'!$G$8)/'DR Breakdown'!$G$9</f>
        <v>-0.46445350069931957</v>
      </c>
      <c r="D8" s="19">
        <f>IFERROR(Table4[[#This Row],[DZ-Score]]-C7,"-")</f>
        <v>0.24254970330115944</v>
      </c>
      <c r="E8" s="20">
        <v>16681862</v>
      </c>
      <c r="F8" s="19">
        <f>(Table4[[#This Row],[Rep.]]-'DR Breakdown'!$J$8)/'DR Breakdown'!$J$9</f>
        <v>-1.0602676100013384</v>
      </c>
      <c r="G8" s="19">
        <f>IFERROR(Table4[[#This Row],[RZ-Score]]-F7,"-")</f>
        <v>4.7099113033622686E-2</v>
      </c>
      <c r="H8" s="20">
        <v>44434510</v>
      </c>
      <c r="I8" s="19">
        <f>(Table4[[#This Row],[Total]]-'DR Breakdown'!$M$8)/'DR Breakdown'!$M$9</f>
        <v>-0.7719597145785162</v>
      </c>
    </row>
    <row r="9" spans="1:11" x14ac:dyDescent="0.35">
      <c r="A9">
        <v>1940</v>
      </c>
      <c r="B9" s="20">
        <v>27313945</v>
      </c>
      <c r="C9" s="19">
        <f>(Table4[[#This Row],[Dem.]]-'DR Breakdown'!$G$8)/'DR Breakdown'!$G$9</f>
        <v>-0.48603112738514964</v>
      </c>
      <c r="D9" s="19">
        <f>IFERROR(Table4[[#This Row],[DZ-Score]]-C8,"-")</f>
        <v>-2.1577626685830076E-2</v>
      </c>
      <c r="E9" s="20">
        <v>22347744</v>
      </c>
      <c r="F9" s="19">
        <f>(Table4[[#This Row],[Rep.]]-'DR Breakdown'!$J$8)/'DR Breakdown'!$J$9</f>
        <v>-0.77039611556161225</v>
      </c>
      <c r="G9" s="19">
        <f>IFERROR(Table4[[#This Row],[RZ-Score]]-F8,"-")</f>
        <v>0.28987149443972615</v>
      </c>
      <c r="H9" s="20">
        <v>49661689</v>
      </c>
      <c r="I9" s="19">
        <f>(Table4[[#This Row],[Total]]-'DR Breakdown'!$M$8)/'DR Breakdown'!$M$9</f>
        <v>-0.63819934962375391</v>
      </c>
    </row>
    <row r="10" spans="1:11" x14ac:dyDescent="0.35">
      <c r="A10">
        <v>1944</v>
      </c>
      <c r="B10" s="20">
        <v>25612916</v>
      </c>
      <c r="C10" s="19">
        <f>(Table4[[#This Row],[Dem.]]-'DR Breakdown'!$G$8)/'DR Breakdown'!$G$9</f>
        <v>-0.56969631486681915</v>
      </c>
      <c r="D10" s="19">
        <f>IFERROR(Table4[[#This Row],[DZ-Score]]-C9,"-")</f>
        <v>-8.3665187481669512E-2</v>
      </c>
      <c r="E10" s="20">
        <v>22017929</v>
      </c>
      <c r="F10" s="19">
        <f>(Table4[[#This Row],[Rep.]]-'DR Breakdown'!$J$8)/'DR Breakdown'!$J$9</f>
        <v>-0.78726974034565089</v>
      </c>
      <c r="G10" s="19">
        <f>IFERROR(Table4[[#This Row],[RZ-Score]]-F9,"-")</f>
        <v>-1.6873624784038643E-2</v>
      </c>
      <c r="H10" s="20">
        <v>47630845</v>
      </c>
      <c r="I10" s="19">
        <f>(Table4[[#This Row],[Total]]-'DR Breakdown'!$M$8)/'DR Breakdown'!$M$9</f>
        <v>-0.69016742544556697</v>
      </c>
    </row>
    <row r="11" spans="1:11" x14ac:dyDescent="0.35">
      <c r="A11">
        <v>1948</v>
      </c>
      <c r="B11" s="20">
        <v>24179347</v>
      </c>
      <c r="C11" s="19">
        <f>(Table4[[#This Row],[Dem.]]-'DR Breakdown'!$G$8)/'DR Breakdown'!$G$9</f>
        <v>-0.64020647028034205</v>
      </c>
      <c r="D11" s="19">
        <f>IFERROR(Table4[[#This Row],[DZ-Score]]-C10,"-")</f>
        <v>-7.0510155413522901E-2</v>
      </c>
      <c r="E11" s="20">
        <v>21991292</v>
      </c>
      <c r="F11" s="19">
        <f>(Table4[[#This Row],[Rep.]]-'DR Breakdown'!$J$8)/'DR Breakdown'!$J$9</f>
        <v>-0.7886325126373066</v>
      </c>
      <c r="G11" s="19">
        <f>IFERROR(Table4[[#This Row],[RZ-Score]]-F10,"-")</f>
        <v>-1.3627722916557117E-3</v>
      </c>
      <c r="H11" s="20">
        <v>46170639</v>
      </c>
      <c r="I11" s="19">
        <f>(Table4[[#This Row],[Total]]-'DR Breakdown'!$M$8)/'DR Breakdown'!$M$9</f>
        <v>-0.72753321825066009</v>
      </c>
    </row>
    <row r="12" spans="1:11" x14ac:dyDescent="0.35">
      <c r="A12">
        <v>1952</v>
      </c>
      <c r="B12" s="20">
        <v>27375090</v>
      </c>
      <c r="C12" s="19">
        <f>(Table4[[#This Row],[Dem.]]-'DR Breakdown'!$G$8)/'DR Breakdown'!$G$9</f>
        <v>-0.48302370782406828</v>
      </c>
      <c r="D12" s="19">
        <f>IFERROR(Table4[[#This Row],[DZ-Score]]-C11,"-")</f>
        <v>0.15718276245627377</v>
      </c>
      <c r="E12" s="20">
        <v>34075529</v>
      </c>
      <c r="F12" s="19">
        <f>(Table4[[#This Row],[Rep.]]-'DR Breakdown'!$J$8)/'DR Breakdown'!$J$9</f>
        <v>-0.17039234484810203</v>
      </c>
      <c r="G12" s="19">
        <f>IFERROR(Table4[[#This Row],[RZ-Score]]-F11,"-")</f>
        <v>0.61824016778920454</v>
      </c>
      <c r="H12" s="20">
        <v>61450619</v>
      </c>
      <c r="I12" s="19">
        <f>(Table4[[#This Row],[Total]]-'DR Breakdown'!$M$8)/'DR Breakdown'!$M$9</f>
        <v>-0.33652772536406311</v>
      </c>
    </row>
    <row r="13" spans="1:11" x14ac:dyDescent="0.35">
      <c r="A13">
        <v>1956</v>
      </c>
      <c r="B13" s="20">
        <v>26028028</v>
      </c>
      <c r="C13" s="19">
        <f>(Table4[[#This Row],[Dem.]]-'DR Breakdown'!$G$8)/'DR Breakdown'!$G$9</f>
        <v>-0.54927901257162559</v>
      </c>
      <c r="D13" s="19">
        <f>IFERROR(Table4[[#This Row],[DZ-Score]]-C12,"-")</f>
        <v>-6.6255304747557309E-2</v>
      </c>
      <c r="E13" s="20">
        <v>35579180</v>
      </c>
      <c r="F13" s="19">
        <f>(Table4[[#This Row],[Rep.]]-'DR Breakdown'!$J$8)/'DR Breakdown'!$J$9</f>
        <v>-9.3464240364847934E-2</v>
      </c>
      <c r="G13" s="19">
        <f>IFERROR(Table4[[#This Row],[RZ-Score]]-F12,"-")</f>
        <v>7.6928104483254101E-2</v>
      </c>
      <c r="H13" s="20">
        <v>61607208</v>
      </c>
      <c r="I13" s="19">
        <f>(Table4[[#This Row],[Total]]-'DR Breakdown'!$M$8)/'DR Breakdown'!$M$9</f>
        <v>-0.33252070708749343</v>
      </c>
    </row>
    <row r="14" spans="1:11" x14ac:dyDescent="0.35">
      <c r="A14">
        <v>1960</v>
      </c>
      <c r="B14" s="20">
        <v>34220984</v>
      </c>
      <c r="C14" s="19">
        <f>(Table4[[#This Row],[Dem.]]-'DR Breakdown'!$G$8)/'DR Breakdown'!$G$9</f>
        <v>-0.14630810509793238</v>
      </c>
      <c r="D14" s="19">
        <f>IFERROR(Table4[[#This Row],[DZ-Score]]-C13,"-")</f>
        <v>0.40297090747369324</v>
      </c>
      <c r="E14" s="20">
        <v>34108157</v>
      </c>
      <c r="F14" s="19">
        <f>(Table4[[#This Row],[Rep.]]-'DR Breakdown'!$J$8)/'DR Breakdown'!$J$9</f>
        <v>-0.16872306773986376</v>
      </c>
      <c r="G14" s="19">
        <f>IFERROR(Table4[[#This Row],[RZ-Score]]-F13,"-")</f>
        <v>-7.5258827375015824E-2</v>
      </c>
      <c r="H14" s="20">
        <v>68329141</v>
      </c>
      <c r="I14" s="19">
        <f>(Table4[[#This Row],[Total]]-'DR Breakdown'!$M$8)/'DR Breakdown'!$M$9</f>
        <v>-0.16051048679822072</v>
      </c>
    </row>
    <row r="15" spans="1:11" x14ac:dyDescent="0.35">
      <c r="A15">
        <v>1964</v>
      </c>
      <c r="B15" s="20">
        <v>43129040</v>
      </c>
      <c r="C15" s="19">
        <f>(Table4[[#This Row],[Dem.]]-'DR Breakdown'!$G$8)/'DR Breakdown'!$G$9</f>
        <v>0.29183502787464527</v>
      </c>
      <c r="D15" s="19">
        <f>IFERROR(Table4[[#This Row],[DZ-Score]]-C14,"-")</f>
        <v>0.43814313297257768</v>
      </c>
      <c r="E15" s="20">
        <v>27175754</v>
      </c>
      <c r="F15" s="19">
        <f>(Table4[[#This Row],[Rep.]]-'DR Breakdown'!$J$8)/'DR Breakdown'!$J$9</f>
        <v>-0.52339088780184906</v>
      </c>
      <c r="G15" s="19">
        <f>IFERROR(Table4[[#This Row],[RZ-Score]]-F14,"-")</f>
        <v>-0.35466782006198527</v>
      </c>
      <c r="H15" s="20">
        <v>70304794</v>
      </c>
      <c r="I15" s="19">
        <f>(Table4[[#This Row],[Total]]-'DR Breakdown'!$M$8)/'DR Breakdown'!$M$9</f>
        <v>-0.10995471545310877</v>
      </c>
    </row>
    <row r="16" spans="1:11" x14ac:dyDescent="0.35">
      <c r="A16">
        <v>1968</v>
      </c>
      <c r="B16" s="20">
        <v>31271839</v>
      </c>
      <c r="C16" s="19">
        <f>(Table4[[#This Row],[Dem.]]-'DR Breakdown'!$G$8)/'DR Breakdown'!$G$9</f>
        <v>-0.29136193388958032</v>
      </c>
      <c r="D16" s="19">
        <f>IFERROR(Table4[[#This Row],[DZ-Score]]-C15,"-")</f>
        <v>-0.58319696176422564</v>
      </c>
      <c r="E16" s="20">
        <v>31783783</v>
      </c>
      <c r="F16" s="19">
        <f>(Table4[[#This Row],[Rep.]]-'DR Breakdown'!$J$8)/'DR Breakdown'!$J$9</f>
        <v>-0.28764008101632171</v>
      </c>
      <c r="G16" s="19">
        <f>IFERROR(Table4[[#This Row],[RZ-Score]]-F15,"-")</f>
        <v>0.23575080678552734</v>
      </c>
      <c r="H16" s="20">
        <v>63055622</v>
      </c>
      <c r="I16" s="19">
        <f>(Table4[[#This Row],[Total]]-'DR Breakdown'!$M$8)/'DR Breakdown'!$M$9</f>
        <v>-0.29545666446611257</v>
      </c>
    </row>
    <row r="17" spans="1:9" x14ac:dyDescent="0.35">
      <c r="A17">
        <v>1972</v>
      </c>
      <c r="B17" s="20">
        <v>29173222</v>
      </c>
      <c r="C17" s="19">
        <f>(Table4[[#This Row],[Dem.]]-'DR Breakdown'!$G$8)/'DR Breakdown'!$G$9</f>
        <v>-0.39458250494228947</v>
      </c>
      <c r="D17" s="19">
        <f>IFERROR(Table4[[#This Row],[DZ-Score]]-C16,"-")</f>
        <v>-0.10322057105270915</v>
      </c>
      <c r="E17" s="20">
        <v>47168710</v>
      </c>
      <c r="F17" s="19">
        <f>(Table4[[#This Row],[Rep.]]-'DR Breakdown'!$J$8)/'DR Breakdown'!$J$9</f>
        <v>0.49946628324189857</v>
      </c>
      <c r="G17" s="19">
        <f>IFERROR(Table4[[#This Row],[RZ-Score]]-F16,"-")</f>
        <v>0.78710636425822034</v>
      </c>
      <c r="H17" s="20">
        <v>76341932</v>
      </c>
      <c r="I17" s="19">
        <f>(Table4[[#This Row],[Total]]-'DR Breakdown'!$M$8)/'DR Breakdown'!$M$9</f>
        <v>4.4532012887792481E-2</v>
      </c>
    </row>
    <row r="18" spans="1:9" x14ac:dyDescent="0.35">
      <c r="A18">
        <v>1976</v>
      </c>
      <c r="B18" s="20">
        <v>40831881</v>
      </c>
      <c r="C18" s="19">
        <f>(Table4[[#This Row],[Dem.]]-'DR Breakdown'!$G$8)/'DR Breakdown'!$G$9</f>
        <v>0.17884915966769266</v>
      </c>
      <c r="D18" s="19">
        <f>IFERROR(Table4[[#This Row],[DZ-Score]]-C17,"-")</f>
        <v>0.57343166460998218</v>
      </c>
      <c r="E18" s="20">
        <v>39148634</v>
      </c>
      <c r="F18" s="19">
        <f>(Table4[[#This Row],[Rep.]]-'DR Breakdown'!$J$8)/'DR Breakdown'!$J$9</f>
        <v>8.9152158161252409E-2</v>
      </c>
      <c r="G18" s="19">
        <f>IFERROR(Table4[[#This Row],[RZ-Score]]-F17,"-")</f>
        <v>-0.41031412508064613</v>
      </c>
      <c r="H18" s="20">
        <v>79980515</v>
      </c>
      <c r="I18" s="19">
        <f>(Table4[[#This Row],[Total]]-'DR Breakdown'!$M$8)/'DR Breakdown'!$M$9</f>
        <v>0.13764116220106334</v>
      </c>
    </row>
    <row r="19" spans="1:9" x14ac:dyDescent="0.35">
      <c r="A19">
        <v>1980</v>
      </c>
      <c r="B19" s="20">
        <v>35481115</v>
      </c>
      <c r="C19" s="19">
        <f>(Table4[[#This Row],[Dem.]]-'DR Breakdown'!$G$8)/'DR Breakdown'!$G$9</f>
        <v>-8.432850547531355E-2</v>
      </c>
      <c r="D19" s="19">
        <f>IFERROR(Table4[[#This Row],[DZ-Score]]-C18,"-")</f>
        <v>-0.26317766514300622</v>
      </c>
      <c r="E19" s="20">
        <v>43903230</v>
      </c>
      <c r="F19" s="19">
        <f>(Table4[[#This Row],[Rep.]]-'DR Breakdown'!$J$8)/'DR Breakdown'!$J$9</f>
        <v>0.33240146126660203</v>
      </c>
      <c r="G19" s="19">
        <f>IFERROR(Table4[[#This Row],[RZ-Score]]-F18,"-")</f>
        <v>0.24324930310534962</v>
      </c>
      <c r="H19" s="20">
        <v>79384345</v>
      </c>
      <c r="I19" s="19">
        <f>(Table4[[#This Row],[Total]]-'DR Breakdown'!$M$8)/'DR Breakdown'!$M$9</f>
        <v>0.12238553066920253</v>
      </c>
    </row>
    <row r="20" spans="1:9" x14ac:dyDescent="0.35">
      <c r="A20">
        <v>1984</v>
      </c>
      <c r="B20" s="20">
        <v>37577352</v>
      </c>
      <c r="C20" s="19">
        <f>(Table4[[#This Row],[Dem.]]-'DR Breakdown'!$G$8)/'DR Breakdown'!$G$9</f>
        <v>1.8775005170896707E-2</v>
      </c>
      <c r="D20" s="19">
        <f>IFERROR(Table4[[#This Row],[DZ-Score]]-C19,"-")</f>
        <v>0.10310351064621026</v>
      </c>
      <c r="E20" s="20">
        <v>54455472</v>
      </c>
      <c r="F20" s="19">
        <f>(Table4[[#This Row],[Rep.]]-'DR Breakdown'!$J$8)/'DR Breakdown'!$J$9</f>
        <v>0.87226342066315232</v>
      </c>
      <c r="G20" s="19">
        <f>IFERROR(Table4[[#This Row],[RZ-Score]]-F19,"-")</f>
        <v>0.53986195939655035</v>
      </c>
      <c r="H20" s="20">
        <v>92032824</v>
      </c>
      <c r="I20" s="19">
        <f>(Table4[[#This Row],[Total]]-'DR Breakdown'!$M$8)/'DR Breakdown'!$M$9</f>
        <v>0.44605249657234974</v>
      </c>
    </row>
    <row r="21" spans="1:9" x14ac:dyDescent="0.35">
      <c r="A21">
        <v>1988</v>
      </c>
      <c r="B21" s="20">
        <v>41809476</v>
      </c>
      <c r="C21" s="19">
        <f>(Table4[[#This Row],[Dem.]]-'DR Breakdown'!$G$8)/'DR Breakdown'!$G$9</f>
        <v>0.22693221348755269</v>
      </c>
      <c r="D21" s="19">
        <f>IFERROR(Table4[[#This Row],[DZ-Score]]-C20,"-")</f>
        <v>0.20815720831665599</v>
      </c>
      <c r="E21" s="20">
        <v>48886597</v>
      </c>
      <c r="F21" s="19">
        <f>(Table4[[#This Row],[Rep.]]-'DR Breakdown'!$J$8)/'DR Breakdown'!$J$9</f>
        <v>0.58735488945864966</v>
      </c>
      <c r="G21" s="19">
        <f>IFERROR(Table4[[#This Row],[RZ-Score]]-F20,"-")</f>
        <v>-0.28490853120450266</v>
      </c>
      <c r="H21" s="20">
        <v>90696073</v>
      </c>
      <c r="I21" s="19">
        <f>(Table4[[#This Row],[Total]]-'DR Breakdown'!$M$8)/'DR Breakdown'!$M$9</f>
        <v>0.41184584292348031</v>
      </c>
    </row>
    <row r="22" spans="1:9" x14ac:dyDescent="0.35">
      <c r="A22">
        <v>1992</v>
      </c>
      <c r="B22" s="20">
        <v>44909889</v>
      </c>
      <c r="C22" s="19">
        <f>(Table4[[#This Row],[Dem.]]-'DR Breakdown'!$G$8)/'DR Breakdown'!$G$9</f>
        <v>0.37942616562805431</v>
      </c>
      <c r="D22" s="19">
        <f>IFERROR(Table4[[#This Row],[DZ-Score]]-C21,"-")</f>
        <v>0.15249395214050163</v>
      </c>
      <c r="E22" s="20">
        <v>39104550</v>
      </c>
      <c r="F22" s="19">
        <f>(Table4[[#This Row],[Rep.]]-'DR Breakdown'!$J$8)/'DR Breakdown'!$J$9</f>
        <v>8.6896782041368359E-2</v>
      </c>
      <c r="G22" s="19">
        <f>IFERROR(Table4[[#This Row],[RZ-Score]]-F21,"-")</f>
        <v>-0.50045810741728136</v>
      </c>
      <c r="H22" s="20">
        <v>84014439</v>
      </c>
      <c r="I22" s="19">
        <f>(Table4[[#This Row],[Total]]-'DR Breakdown'!$M$8)/'DR Breakdown'!$M$9</f>
        <v>0.24086684979274034</v>
      </c>
    </row>
    <row r="23" spans="1:9" x14ac:dyDescent="0.35">
      <c r="A23">
        <v>1996</v>
      </c>
      <c r="B23" s="20">
        <v>47401185</v>
      </c>
      <c r="C23" s="19">
        <f>(Table4[[#This Row],[Dem.]]-'DR Breakdown'!$G$8)/'DR Breakdown'!$G$9</f>
        <v>0.50196067086713803</v>
      </c>
      <c r="D23" s="19">
        <f>IFERROR(Table4[[#This Row],[DZ-Score]]-C22,"-")</f>
        <v>0.12253450523908371</v>
      </c>
      <c r="E23" s="20">
        <v>39197469</v>
      </c>
      <c r="F23" s="19">
        <f>(Table4[[#This Row],[Rep.]]-'DR Breakdown'!$J$8)/'DR Breakdown'!$J$9</f>
        <v>9.165059960972663E-2</v>
      </c>
      <c r="G23" s="19">
        <f>IFERROR(Table4[[#This Row],[RZ-Score]]-F22,"-")</f>
        <v>4.7538175683582706E-3</v>
      </c>
      <c r="H23" s="20">
        <v>86598654</v>
      </c>
      <c r="I23" s="19">
        <f>(Table4[[#This Row],[Total]]-'DR Breakdown'!$M$8)/'DR Breakdown'!$M$9</f>
        <v>0.30699535649235232</v>
      </c>
    </row>
    <row r="24" spans="1:9" x14ac:dyDescent="0.35">
      <c r="A24">
        <v>2000</v>
      </c>
      <c r="B24" s="20">
        <v>50999897</v>
      </c>
      <c r="C24" s="19">
        <f>(Table4[[#This Row],[Dem.]]-'DR Breakdown'!$G$8)/'DR Breakdown'!$G$9</f>
        <v>0.67896348162023723</v>
      </c>
      <c r="D24" s="19">
        <f>IFERROR(Table4[[#This Row],[DZ-Score]]-C23,"-")</f>
        <v>0.1770028107530992</v>
      </c>
      <c r="E24" s="20">
        <v>50456002</v>
      </c>
      <c r="F24" s="19">
        <f>(Table4[[#This Row],[Rep.]]-'DR Breakdown'!$J$8)/'DR Breakdown'!$J$9</f>
        <v>0.66764702627533212</v>
      </c>
      <c r="G24" s="19">
        <f>IFERROR(Table4[[#This Row],[RZ-Score]]-F23,"-")</f>
        <v>0.57599642666560547</v>
      </c>
      <c r="H24" s="20">
        <v>101455899</v>
      </c>
      <c r="I24" s="19">
        <f>(Table4[[#This Row],[Total]]-'DR Breakdown'!$M$8)/'DR Breakdown'!$M$9</f>
        <v>0.68718331512593223</v>
      </c>
    </row>
    <row r="25" spans="1:9" x14ac:dyDescent="0.35">
      <c r="A25">
        <v>2004</v>
      </c>
      <c r="B25" s="20">
        <v>59028444</v>
      </c>
      <c r="C25" s="19">
        <f>(Table4[[#This Row],[Dem.]]-'DR Breakdown'!$G$8)/'DR Breakdown'!$G$9</f>
        <v>1.073847925072051</v>
      </c>
      <c r="D25" s="19">
        <f>IFERROR(Table4[[#This Row],[DZ-Score]]-C24,"-")</f>
        <v>0.39488444345181373</v>
      </c>
      <c r="E25" s="20">
        <v>62040610</v>
      </c>
      <c r="F25" s="19">
        <f>(Table4[[#This Row],[Rep.]]-'DR Breakdown'!$J$8)/'DR Breakdown'!$J$9</f>
        <v>1.2603257360434508</v>
      </c>
      <c r="G25" s="19">
        <f>IFERROR(Table4[[#This Row],[RZ-Score]]-F24,"-")</f>
        <v>0.59267870976811865</v>
      </c>
      <c r="H25" s="20">
        <v>121069054</v>
      </c>
      <c r="I25" s="19">
        <f>(Table4[[#This Row],[Total]]-'DR Breakdown'!$M$8)/'DR Breakdown'!$M$9</f>
        <v>1.1890721486084515</v>
      </c>
    </row>
    <row r="26" spans="1:9" x14ac:dyDescent="0.35">
      <c r="A26">
        <v>2008</v>
      </c>
      <c r="B26" s="20">
        <v>69498516</v>
      </c>
      <c r="C26" s="19">
        <f>(Table4[[#This Row],[Dem.]]-'DR Breakdown'!$G$8)/'DR Breakdown'!$G$9</f>
        <v>1.588818884900824</v>
      </c>
      <c r="D26" s="19">
        <f>IFERROR(Table4[[#This Row],[DZ-Score]]-C25,"-")</f>
        <v>0.51497095982877306</v>
      </c>
      <c r="E26" s="20">
        <v>59948323</v>
      </c>
      <c r="F26" s="19">
        <f>(Table4[[#This Row],[Rep.]]-'DR Breakdown'!$J$8)/'DR Breakdown'!$J$9</f>
        <v>1.153282497323193</v>
      </c>
      <c r="G26" s="19">
        <f>IFERROR(Table4[[#This Row],[RZ-Score]]-F25,"-")</f>
        <v>-0.10704323872025778</v>
      </c>
      <c r="H26" s="20">
        <v>129446839</v>
      </c>
      <c r="I26" s="19">
        <f>(Table4[[#This Row],[Total]]-'DR Breakdown'!$M$8)/'DR Breakdown'!$M$9</f>
        <v>1.4034546251053408</v>
      </c>
    </row>
    <row r="27" spans="1:9" x14ac:dyDescent="0.35">
      <c r="A27">
        <v>2012</v>
      </c>
      <c r="B27" s="20">
        <v>65915795</v>
      </c>
      <c r="C27" s="19">
        <f>(Table4[[#This Row],[Dem.]]-'DR Breakdown'!$G$8)/'DR Breakdown'!$G$9</f>
        <v>1.412602592198281</v>
      </c>
      <c r="D27" s="19">
        <f>IFERROR(Table4[[#This Row],[DZ-Score]]-C26,"-")</f>
        <v>-0.17621629270254302</v>
      </c>
      <c r="E27" s="20">
        <v>60933504</v>
      </c>
      <c r="F27" s="19">
        <f>(Table4[[#This Row],[Rep.]]-'DR Breakdown'!$J$8)/'DR Breakdown'!$J$9</f>
        <v>1.203685221694019</v>
      </c>
      <c r="G27" s="19">
        <f>IFERROR(Table4[[#This Row],[RZ-Score]]-F26,"-")</f>
        <v>5.0402724370826046E-2</v>
      </c>
      <c r="H27" s="20">
        <v>126849299</v>
      </c>
      <c r="I27" s="19">
        <f>(Table4[[#This Row],[Total]]-'DR Breakdown'!$M$8)/'DR Breakdown'!$M$9</f>
        <v>1.336985139674558</v>
      </c>
    </row>
    <row r="28" spans="1:9" x14ac:dyDescent="0.35">
      <c r="A28">
        <v>2016</v>
      </c>
      <c r="B28" s="20">
        <v>65853514</v>
      </c>
      <c r="C28" s="19">
        <f>(Table4[[#This Row],[Dem.]]-'DR Breakdown'!$G$8)/'DR Breakdown'!$G$9</f>
        <v>1.4095392984263664</v>
      </c>
      <c r="D28" s="19">
        <f>IFERROR(Table4[[#This Row],[DZ-Score]]-C27,"-")</f>
        <v>-3.0632937719146103E-3</v>
      </c>
      <c r="E28" s="20">
        <v>62984828</v>
      </c>
      <c r="F28" s="19">
        <f>(Table4[[#This Row],[Rep.]]-'DR Breakdown'!$J$8)/'DR Breakdown'!$J$9</f>
        <v>1.3086327573927994</v>
      </c>
      <c r="G28" s="19">
        <f>IFERROR(Table4[[#This Row],[RZ-Score]]-F27,"-")</f>
        <v>0.10494753569878035</v>
      </c>
      <c r="H28" s="20">
        <v>128838342</v>
      </c>
      <c r="I28" s="19">
        <f>(Table4[[#This Row],[Total]]-'DR Breakdown'!$M$8)/'DR Breakdown'!$M$9</f>
        <v>1.3878835530617244</v>
      </c>
    </row>
    <row r="29" spans="1:9" x14ac:dyDescent="0.35">
      <c r="A29">
        <v>2020</v>
      </c>
      <c r="B29" s="20">
        <v>81283501</v>
      </c>
      <c r="C29" s="19">
        <f>(Table4[[#This Row],[Dem.]]-'DR Breakdown'!$G$8)/'DR Breakdown'!$G$9</f>
        <v>2.1684638994735694</v>
      </c>
      <c r="D29" s="19">
        <f>IFERROR(Table4[[#This Row],[DZ-Score]]-C28,"-")</f>
        <v>0.75892460104720305</v>
      </c>
      <c r="E29" s="20">
        <v>74223975</v>
      </c>
      <c r="F29" s="19">
        <f>(Table4[[#This Row],[Rep.]]-'DR Breakdown'!$J$8)/'DR Breakdown'!$J$9</f>
        <v>1.8836373792888723</v>
      </c>
      <c r="G29" s="19">
        <f>IFERROR(Table4[[#This Row],[RZ-Score]]-F28,"-")</f>
        <v>0.57500462189607293</v>
      </c>
      <c r="H29" s="20">
        <v>155507476</v>
      </c>
      <c r="I29" s="19">
        <f>(Table4[[#This Row],[Total]]-'DR Breakdown'!$M$8)/'DR Breakdown'!$M$9</f>
        <v>2.0703306429485373</v>
      </c>
    </row>
    <row r="30" spans="1:9" x14ac:dyDescent="0.35">
      <c r="A30">
        <v>2024</v>
      </c>
      <c r="B30" s="20">
        <v>71239855</v>
      </c>
      <c r="C30" s="19">
        <f>(Table4[[#This Row],[Dem.]]-'DR Breakdown'!$G$8)/'DR Breakdown'!$G$9</f>
        <v>1.6744667215362623</v>
      </c>
      <c r="D30" s="19">
        <f>IFERROR(Table4[[#This Row],[DZ-Score]]-C29,"-")</f>
        <v>-0.49399717793730713</v>
      </c>
      <c r="E30" s="20">
        <v>74834590</v>
      </c>
      <c r="F30" s="19">
        <f>(Table4[[#This Row],[Rep.]]-'DR Breakdown'!$J$8)/'DR Breakdown'!$J$9</f>
        <v>1.9148769784505408</v>
      </c>
      <c r="G30" s="19">
        <f>IFERROR(Table4[[#This Row],[RZ-Score]]-F29,"-")</f>
        <v>3.1239599161668519E-2</v>
      </c>
      <c r="H30" s="20">
        <v>140459535</v>
      </c>
      <c r="I30" s="19">
        <f>(Table4[[#This Row],[Total]]-'DR Breakdown'!$M$8)/'DR Breakdown'!$M$9</f>
        <v>1.6852628884335816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A274-0082-4035-8956-5A80B452DD07}">
  <dimension ref="A3:U36"/>
  <sheetViews>
    <sheetView workbookViewId="0">
      <selection activeCell="D32" sqref="D32"/>
    </sheetView>
  </sheetViews>
  <sheetFormatPr defaultRowHeight="14.5" x14ac:dyDescent="0.35"/>
  <cols>
    <col min="1" max="1" width="6.54296875" customWidth="1"/>
    <col min="2" max="2" width="11.90625" customWidth="1"/>
    <col min="3" max="3" width="11.7265625" customWidth="1"/>
    <col min="4" max="8" width="11.08984375" customWidth="1"/>
    <col min="9" max="11" width="11.1796875" customWidth="1"/>
    <col min="12" max="12" width="11.08984375" customWidth="1"/>
    <col min="13" max="13" width="12.36328125" bestFit="1" customWidth="1"/>
    <col min="14" max="14" width="12.1796875" bestFit="1" customWidth="1"/>
    <col min="15" max="15" width="12.1796875" customWidth="1"/>
    <col min="17" max="17" width="20.08984375" bestFit="1" customWidth="1"/>
  </cols>
  <sheetData>
    <row r="3" spans="1:21" x14ac:dyDescent="0.35">
      <c r="A3" t="s">
        <v>0</v>
      </c>
      <c r="B3" t="s">
        <v>74</v>
      </c>
      <c r="C3" t="s">
        <v>75</v>
      </c>
      <c r="D3" t="s">
        <v>76</v>
      </c>
      <c r="E3" t="s">
        <v>89</v>
      </c>
      <c r="F3" t="s">
        <v>90</v>
      </c>
      <c r="G3" t="s">
        <v>88</v>
      </c>
      <c r="H3" t="s">
        <v>92</v>
      </c>
      <c r="I3" t="s">
        <v>77</v>
      </c>
      <c r="J3" t="s">
        <v>91</v>
      </c>
      <c r="K3" t="s">
        <v>82</v>
      </c>
      <c r="L3" t="s">
        <v>78</v>
      </c>
      <c r="M3" t="s">
        <v>87</v>
      </c>
      <c r="N3" t="s">
        <v>85</v>
      </c>
      <c r="O3" t="s">
        <v>86</v>
      </c>
    </row>
    <row r="4" spans="1:21" x14ac:dyDescent="0.35">
      <c r="A4" s="15">
        <v>1912</v>
      </c>
      <c r="B4" s="33">
        <f>95330000/2</f>
        <v>47665000</v>
      </c>
      <c r="C4" s="34">
        <v>6296284</v>
      </c>
      <c r="D4" s="34">
        <v>4122721</v>
      </c>
      <c r="E4" s="34">
        <f>Table5[[#This Row],[Dem Votes]]+Table5[[#This Row],[Rep Votes]]</f>
        <v>10419005</v>
      </c>
      <c r="F4" s="31">
        <f>Table5[[#This Row],[Total Votes]]/Table5[[#This Row],[Population]]</f>
        <v>0.2185881674184412</v>
      </c>
      <c r="G4" s="35" t="str">
        <f>IFERROR((Table5[[#This Row],[T% of Pop]]-F3)/F3,"-")</f>
        <v>-</v>
      </c>
      <c r="H4" s="39">
        <f>(Table5[[#This Row],[T% of Pop]]-$R$17)/$R$18</f>
        <v>-2.698839036149133</v>
      </c>
      <c r="I4" s="32">
        <f>Table5[[#This Row],[Dem Votes]]/Table5[[#This Row],[Population]]</f>
        <v>0.13209449281443408</v>
      </c>
      <c r="J4" s="36">
        <f>(Table5[[#This Row],[D% of Pop]]-$Q$6)/$Q$7</f>
        <v>-1.4267359083714586</v>
      </c>
      <c r="K4" s="36" t="str">
        <f>IFERROR(Table5[[#This Row],[D%Z-Score2]]-J3,"-")</f>
        <v>-</v>
      </c>
      <c r="L4" s="32">
        <f>Table5[[#This Row],[Rep Votes]]/Table5[[#This Row],[Population]]</f>
        <v>8.6493674604007129E-2</v>
      </c>
      <c r="M4" s="35">
        <f>Table5[[#This Row],[Rep Votes]]/Table5[[#This Row],[Population]]</f>
        <v>8.6493674604007129E-2</v>
      </c>
      <c r="N4" s="37">
        <f>(Table5[[#This Row],[R% of Pop2]]-$T$6)/$T$7</f>
        <v>-2.3553885620159565</v>
      </c>
      <c r="O4" s="37" t="str">
        <f>IFERROR(Table5[[#This Row],[R%Z-Score]]-N3,"-")</f>
        <v>-</v>
      </c>
    </row>
    <row r="5" spans="1:21" x14ac:dyDescent="0.35">
      <c r="A5" s="15">
        <v>1916</v>
      </c>
      <c r="B5" s="33">
        <f>101960000/1.5</f>
        <v>67973333.333333328</v>
      </c>
      <c r="C5" s="34">
        <v>9126868</v>
      </c>
      <c r="D5" s="34">
        <v>8548728</v>
      </c>
      <c r="E5" s="34">
        <f>Table5[[#This Row],[Dem Votes]]+Table5[[#This Row],[Rep Votes]]</f>
        <v>17675596</v>
      </c>
      <c r="F5" s="31">
        <f>Table5[[#This Row],[Total Votes]]/Table5[[#This Row],[Population]]</f>
        <v>0.26003721067085134</v>
      </c>
      <c r="G5" s="35">
        <f>IFERROR((Table5[[#This Row],[T% of Pop]]-F4)/F4,"-")</f>
        <v>0.18962162381399464</v>
      </c>
      <c r="H5" s="39">
        <f>(Table5[[#This Row],[T% of Pop]]-$R$17)/$R$18</f>
        <v>-1.9113571365020843</v>
      </c>
      <c r="I5" s="32">
        <f>Table5[[#This Row],[Dem Votes]]/Table5[[#This Row],[Population]]</f>
        <v>0.1342713024715575</v>
      </c>
      <c r="J5" s="36">
        <f>(Table5[[#This Row],[D% of Pop]]-$Q$6)/$Q$7</f>
        <v>-1.3592776137815306</v>
      </c>
      <c r="K5" s="36">
        <f>IFERROR(Table5[[#This Row],[D%Z-Score2]]-J4,"-")</f>
        <v>6.7458294589928025E-2</v>
      </c>
      <c r="L5" s="32">
        <f>Table5[[#This Row],[Rep Votes]]/Table5[[#This Row],[Population]]</f>
        <v>0.12576590819929384</v>
      </c>
      <c r="M5" s="35">
        <f>Table5[[#This Row],[Rep Votes]]/Table5[[#This Row],[Population]]</f>
        <v>0.12576590819929384</v>
      </c>
      <c r="N5" s="37">
        <f>(Table5[[#This Row],[R% of Pop2]]-$T$6)/$T$7</f>
        <v>-1.3919717898864381</v>
      </c>
      <c r="O5" s="37">
        <f>IFERROR(Table5[[#This Row],[R%Z-Score]]-N4,"-")</f>
        <v>0.96341677212951837</v>
      </c>
      <c r="P5" s="46" t="s">
        <v>79</v>
      </c>
      <c r="Q5" s="46"/>
      <c r="S5" s="47" t="s">
        <v>84</v>
      </c>
      <c r="T5" s="47"/>
    </row>
    <row r="6" spans="1:21" x14ac:dyDescent="0.35">
      <c r="A6" s="15">
        <v>1920</v>
      </c>
      <c r="B6" s="33">
        <f>106460000/1.5</f>
        <v>70973333.333333328</v>
      </c>
      <c r="C6" s="34">
        <v>9139661</v>
      </c>
      <c r="D6" s="34">
        <v>16144093</v>
      </c>
      <c r="E6" s="34">
        <f>Table5[[#This Row],[Dem Votes]]+Table5[[#This Row],[Rep Votes]]</f>
        <v>25283754</v>
      </c>
      <c r="F6" s="31">
        <f>Table5[[#This Row],[Total Votes]]/Table5[[#This Row],[Population]]</f>
        <v>0.35624301145970322</v>
      </c>
      <c r="G6" s="35">
        <f>IFERROR((Table5[[#This Row],[T% of Pop]]-F5)/F5,"-")</f>
        <v>0.36996936146429749</v>
      </c>
      <c r="H6" s="39">
        <f>(Table5[[#This Row],[T% of Pop]]-$R$17)/$R$18</f>
        <v>-8.3562793918184941E-2</v>
      </c>
      <c r="I6" s="32">
        <f>Table5[[#This Row],[Dem Votes]]/Table5[[#This Row],[Population]]</f>
        <v>0.12877598628592898</v>
      </c>
      <c r="J6" s="36">
        <f>(Table5[[#This Row],[D% of Pop]]-$Q$6)/$Q$7</f>
        <v>-1.5295748452835269</v>
      </c>
      <c r="K6" s="36">
        <f>IFERROR(Table5[[#This Row],[D%Z-Score2]]-J5,"-")</f>
        <v>-0.17029723150199638</v>
      </c>
      <c r="L6" s="32">
        <f>Table5[[#This Row],[Rep Votes]]/Table5[[#This Row],[Population]]</f>
        <v>0.22746702517377421</v>
      </c>
      <c r="M6" s="35">
        <f>Table5[[#This Row],[Rep Votes]]/Table5[[#This Row],[Population]]</f>
        <v>0.22746702517377421</v>
      </c>
      <c r="N6" s="37">
        <f>(Table5[[#This Row],[R% of Pop2]]-$T$6)/$T$7</f>
        <v>1.1029349894743281</v>
      </c>
      <c r="O6" s="37">
        <f>IFERROR(Table5[[#This Row],[R%Z-Score]]-N5,"-")</f>
        <v>2.4949067793607664</v>
      </c>
      <c r="P6" t="s">
        <v>65</v>
      </c>
      <c r="Q6" s="5">
        <f>AVERAGE(Table5[D% of Pop])</f>
        <v>0.17813379046325795</v>
      </c>
      <c r="S6" t="s">
        <v>65</v>
      </c>
      <c r="T6" s="5">
        <f>AVERAGE(Table5[R% of Pop])</f>
        <v>0.18250754159398469</v>
      </c>
    </row>
    <row r="7" spans="1:21" x14ac:dyDescent="0.35">
      <c r="A7" s="15">
        <v>1924</v>
      </c>
      <c r="B7" s="33">
        <f>114110000/2</f>
        <v>57055000</v>
      </c>
      <c r="C7" s="34">
        <v>8386242</v>
      </c>
      <c r="D7" s="34">
        <v>15723789</v>
      </c>
      <c r="E7" s="34">
        <f>Table5[[#This Row],[Dem Votes]]+Table5[[#This Row],[Rep Votes]]</f>
        <v>24110031</v>
      </c>
      <c r="F7" s="31">
        <f>Table5[[#This Row],[Total Votes]]/Table5[[#This Row],[Population]]</f>
        <v>0.42257525194987294</v>
      </c>
      <c r="G7" s="35">
        <f>IFERROR((Table5[[#This Row],[T% of Pop]]-F6)/F6,"-")</f>
        <v>0.18619941544501839</v>
      </c>
      <c r="H7" s="39">
        <f>(Table5[[#This Row],[T% of Pop]]-$R$17)/$R$18</f>
        <v>1.176669883370606</v>
      </c>
      <c r="I7" s="32">
        <f>Table5[[#This Row],[Dem Votes]]/Table5[[#This Row],[Population]]</f>
        <v>0.14698522478310402</v>
      </c>
      <c r="J7" s="36">
        <f>(Table5[[#This Row],[D% of Pop]]-$Q$6)/$Q$7</f>
        <v>-0.96527921622795965</v>
      </c>
      <c r="K7" s="36">
        <f>IFERROR(Table5[[#This Row],[D%Z-Score2]]-J6,"-")</f>
        <v>0.56429562905556729</v>
      </c>
      <c r="L7" s="32">
        <f>Table5[[#This Row],[Rep Votes]]/Table5[[#This Row],[Population]]</f>
        <v>0.27559002716676889</v>
      </c>
      <c r="M7" s="35">
        <f>Table5[[#This Row],[Rep Votes]]/Table5[[#This Row],[Population]]</f>
        <v>0.27559002716676889</v>
      </c>
      <c r="N7" s="37">
        <f>(Table5[[#This Row],[R% of Pop2]]-$T$6)/$T$7</f>
        <v>2.28347663431822</v>
      </c>
      <c r="O7" s="37">
        <f>IFERROR(Table5[[#This Row],[R%Z-Score]]-N6,"-")</f>
        <v>1.1805416448438919</v>
      </c>
      <c r="P7" t="s">
        <v>80</v>
      </c>
      <c r="Q7" s="5">
        <f>_xlfn.STDEV.S(Table5[D% of Pop])</f>
        <v>3.2268969596044736E-2</v>
      </c>
      <c r="S7" t="s">
        <v>80</v>
      </c>
      <c r="T7" s="5">
        <f>_xlfn.STDEV.S(Table5[R% of Pop])</f>
        <v>4.0763493776924911E-2</v>
      </c>
    </row>
    <row r="8" spans="1:21" x14ac:dyDescent="0.35">
      <c r="A8" s="15">
        <v>1928</v>
      </c>
      <c r="B8" s="33">
        <f>120510000</f>
        <v>120510000</v>
      </c>
      <c r="C8" s="34">
        <v>15015464</v>
      </c>
      <c r="D8" s="34">
        <v>21427123</v>
      </c>
      <c r="E8" s="34">
        <f>Table5[[#This Row],[Dem Votes]]+Table5[[#This Row],[Rep Votes]]</f>
        <v>36442587</v>
      </c>
      <c r="F8" s="31">
        <f>Table5[[#This Row],[Total Votes]]/Table5[[#This Row],[Population]]</f>
        <v>0.30240301219815785</v>
      </c>
      <c r="G8" s="35">
        <f>IFERROR((Table5[[#This Row],[T% of Pop]]-F7)/F7,"-")</f>
        <v>-0.28438068532695393</v>
      </c>
      <c r="H8" s="39">
        <f>(Table5[[#This Row],[T% of Pop]]-$R$17)/$R$18</f>
        <v>-1.1064579337960425</v>
      </c>
      <c r="I8" s="32">
        <f>Table5[[#This Row],[Dem Votes]]/Table5[[#This Row],[Population]]</f>
        <v>0.12459931955854286</v>
      </c>
      <c r="J8" s="36">
        <f>(Table5[[#This Row],[D% of Pop]]-$Q$6)/$Q$7</f>
        <v>-1.6590077580685096</v>
      </c>
      <c r="K8" s="36">
        <f>IFERROR(Table5[[#This Row],[D%Z-Score2]]-J7,"-")</f>
        <v>-0.69372854184054999</v>
      </c>
      <c r="L8" s="32">
        <f>Table5[[#This Row],[Rep Votes]]/Table5[[#This Row],[Population]]</f>
        <v>0.17780369263961496</v>
      </c>
      <c r="M8" s="35">
        <f>Table5[[#This Row],[Rep Votes]]/Table5[[#This Row],[Population]]</f>
        <v>0.17780369263961496</v>
      </c>
      <c r="N8" s="37">
        <f>(Table5[[#This Row],[R% of Pop2]]-$T$6)/$T$7</f>
        <v>-0.11539366522681262</v>
      </c>
      <c r="O8" s="37">
        <f>IFERROR(Table5[[#This Row],[R%Z-Score]]-N7,"-")</f>
        <v>-2.3988702995450328</v>
      </c>
      <c r="P8" t="s">
        <v>58</v>
      </c>
      <c r="Q8" s="5">
        <f>_xlfn.QUARTILE.INC(Table5[D% of Pop],1)</f>
        <v>0.15580608340391611</v>
      </c>
      <c r="S8" t="s">
        <v>58</v>
      </c>
      <c r="T8" s="5">
        <f>_xlfn.QUARTILE.INC(Table5[R% of Pop],1)</f>
        <v>0.15244844255584578</v>
      </c>
    </row>
    <row r="9" spans="1:21" x14ac:dyDescent="0.35">
      <c r="A9" s="15">
        <v>1932</v>
      </c>
      <c r="B9" s="34">
        <v>124840000</v>
      </c>
      <c r="C9" s="34">
        <v>22821277</v>
      </c>
      <c r="D9" s="34">
        <v>15761254</v>
      </c>
      <c r="E9" s="34">
        <f>Table5[[#This Row],[Dem Votes]]+Table5[[#This Row],[Rep Votes]]</f>
        <v>38582531</v>
      </c>
      <c r="F9" s="31">
        <f>Table5[[#This Row],[Total Votes]]/Table5[[#This Row],[Population]]</f>
        <v>0.30905583947452742</v>
      </c>
      <c r="G9" s="35">
        <f>IFERROR((Table5[[#This Row],[T% of Pop]]-F8)/F8,"-")</f>
        <v>2.1999871059518807E-2</v>
      </c>
      <c r="H9" s="39">
        <f>(Table5[[#This Row],[T% of Pop]]-$R$17)/$R$18</f>
        <v>-0.9800622283580267</v>
      </c>
      <c r="I9" s="32">
        <f>Table5[[#This Row],[Dem Votes]]/Table5[[#This Row],[Population]]</f>
        <v>0.18280420538289011</v>
      </c>
      <c r="J9" s="36">
        <f>(Table5[[#This Row],[D% of Pop]]-$Q$6)/$Q$7</f>
        <v>0.1447339341199361</v>
      </c>
      <c r="K9" s="36">
        <f>IFERROR(Table5[[#This Row],[D%Z-Score2]]-J8,"-")</f>
        <v>1.8037416921884457</v>
      </c>
      <c r="L9" s="32">
        <f>Table5[[#This Row],[Rep Votes]]/Table5[[#This Row],[Population]]</f>
        <v>0.12625163409163728</v>
      </c>
      <c r="M9" s="35">
        <f>Table5[[#This Row],[Rep Votes]]/Table5[[#This Row],[Population]]</f>
        <v>0.12625163409163728</v>
      </c>
      <c r="N9" s="37">
        <f>(Table5[[#This Row],[R% of Pop2]]-$T$6)/$T$7</f>
        <v>-1.380056081802103</v>
      </c>
      <c r="O9" s="37">
        <f>IFERROR(Table5[[#This Row],[R%Z-Score]]-N8,"-")</f>
        <v>-1.2646624165752904</v>
      </c>
      <c r="P9" t="s">
        <v>60</v>
      </c>
      <c r="Q9" s="5">
        <f>_xlfn.QUARTILE.INC(Table5[D% of Pop],3)</f>
        <v>0.2039187279370781</v>
      </c>
      <c r="S9" t="s">
        <v>60</v>
      </c>
      <c r="T9" s="5">
        <f>_xlfn.QUARTILE.INC(Table5[R% of Pop],3)</f>
        <v>0.21188009289300228</v>
      </c>
    </row>
    <row r="10" spans="1:21" x14ac:dyDescent="0.35">
      <c r="A10" s="15">
        <v>1936</v>
      </c>
      <c r="B10" s="34">
        <v>128050000.00000001</v>
      </c>
      <c r="C10" s="34">
        <v>27752648</v>
      </c>
      <c r="D10" s="34">
        <v>16681862</v>
      </c>
      <c r="E10" s="34">
        <f>Table5[[#This Row],[Dem Votes]]+Table5[[#This Row],[Rep Votes]]</f>
        <v>44434510</v>
      </c>
      <c r="F10" s="31">
        <f>Table5[[#This Row],[Total Votes]]/Table5[[#This Row],[Population]]</f>
        <v>0.34700905896134321</v>
      </c>
      <c r="G10" s="35">
        <f>IFERROR((Table5[[#This Row],[T% of Pop]]-F9)/F9,"-")</f>
        <v>0.12280376113049928</v>
      </c>
      <c r="H10" s="39">
        <f>(Table5[[#This Row],[T% of Pop]]-$R$17)/$R$18</f>
        <v>-0.2589967698094458</v>
      </c>
      <c r="I10" s="32">
        <f>Table5[[#This Row],[Dem Votes]]/Table5[[#This Row],[Population]]</f>
        <v>0.21673290121046462</v>
      </c>
      <c r="J10" s="36">
        <f>(Table5[[#This Row],[D% of Pop]]-$Q$6)/$Q$7</f>
        <v>1.1961680596066457</v>
      </c>
      <c r="K10" s="36">
        <f>IFERROR(Table5[[#This Row],[D%Z-Score2]]-J9,"-")</f>
        <v>1.0514341254867097</v>
      </c>
      <c r="L10" s="32">
        <f>Table5[[#This Row],[Rep Votes]]/Table5[[#This Row],[Population]]</f>
        <v>0.13027615775087856</v>
      </c>
      <c r="M10" s="35">
        <f>Table5[[#This Row],[Rep Votes]]/Table5[[#This Row],[Population]]</f>
        <v>0.13027615775087856</v>
      </c>
      <c r="N10" s="37">
        <f>(Table5[[#This Row],[R% of Pop2]]-$T$6)/$T$7</f>
        <v>-1.2813274575760942</v>
      </c>
      <c r="O10" s="37">
        <f>IFERROR(Table5[[#This Row],[R%Z-Score]]-N9,"-")</f>
        <v>9.872862422600881E-2</v>
      </c>
      <c r="P10" t="s">
        <v>67</v>
      </c>
      <c r="Q10" s="5">
        <f>Q9-Q8</f>
        <v>4.8112644533161997E-2</v>
      </c>
      <c r="S10" t="s">
        <v>67</v>
      </c>
      <c r="T10" s="5">
        <f>T9-T8</f>
        <v>5.94316503371565E-2</v>
      </c>
    </row>
    <row r="11" spans="1:21" x14ac:dyDescent="0.35">
      <c r="A11" s="15">
        <v>1940</v>
      </c>
      <c r="B11" s="34">
        <v>132120000</v>
      </c>
      <c r="C11" s="34">
        <v>27313945</v>
      </c>
      <c r="D11" s="34">
        <v>22347744</v>
      </c>
      <c r="E11" s="34">
        <f>Table5[[#This Row],[Dem Votes]]+Table5[[#This Row],[Rep Votes]]</f>
        <v>49661689</v>
      </c>
      <c r="F11" s="31">
        <f>Table5[[#This Row],[Total Votes]]/Table5[[#This Row],[Population]]</f>
        <v>0.37588320466242808</v>
      </c>
      <c r="G11" s="35">
        <f>IFERROR((Table5[[#This Row],[T% of Pop]]-F10)/F10,"-")</f>
        <v>8.3208622240324437E-2</v>
      </c>
      <c r="H11" s="39">
        <f>(Table5[[#This Row],[T% of Pop]]-$R$17)/$R$18</f>
        <v>0.28957722184846385</v>
      </c>
      <c r="I11" s="32">
        <f>Table5[[#This Row],[Dem Votes]]/Table5[[#This Row],[Population]]</f>
        <v>0.20673588404480775</v>
      </c>
      <c r="J11" s="36">
        <f>(Table5[[#This Row],[D% of Pop]]-$Q$6)/$Q$7</f>
        <v>0.88636525862466997</v>
      </c>
      <c r="K11" s="36">
        <f>IFERROR(Table5[[#This Row],[D%Z-Score2]]-J10,"-")</f>
        <v>-0.30980280098197577</v>
      </c>
      <c r="L11" s="32">
        <f>Table5[[#This Row],[Rep Votes]]/Table5[[#This Row],[Population]]</f>
        <v>0.16914732061762033</v>
      </c>
      <c r="M11" s="35">
        <f>Table5[[#This Row],[Rep Votes]]/Table5[[#This Row],[Population]]</f>
        <v>0.16914732061762033</v>
      </c>
      <c r="N11" s="37">
        <f>(Table5[[#This Row],[R% of Pop2]]-$T$6)/$T$7</f>
        <v>-0.32774965388092442</v>
      </c>
      <c r="O11" s="37">
        <f>IFERROR(Table5[[#This Row],[R%Z-Score]]-N10,"-")</f>
        <v>0.95357780369516987</v>
      </c>
      <c r="P11" t="s">
        <v>69</v>
      </c>
      <c r="Q11" s="5">
        <f>Q9+(1.5*Q10)</f>
        <v>0.2760876947368211</v>
      </c>
      <c r="S11" t="s">
        <v>69</v>
      </c>
      <c r="T11" s="5">
        <f>T9+(1.5*T10)</f>
        <v>0.30102756839873701</v>
      </c>
    </row>
    <row r="12" spans="1:21" x14ac:dyDescent="0.35">
      <c r="A12" s="15">
        <v>1944</v>
      </c>
      <c r="B12" s="34">
        <v>138400000</v>
      </c>
      <c r="C12" s="34">
        <v>25612916</v>
      </c>
      <c r="D12" s="34">
        <v>22017929</v>
      </c>
      <c r="E12" s="34">
        <f>Table5[[#This Row],[Dem Votes]]+Table5[[#This Row],[Rep Votes]]</f>
        <v>47630845</v>
      </c>
      <c r="F12" s="31">
        <f>Table5[[#This Row],[Total Votes]]/Table5[[#This Row],[Population]]</f>
        <v>0.3441535043352601</v>
      </c>
      <c r="G12" s="35">
        <f>IFERROR((Table5[[#This Row],[T% of Pop]]-F11)/F11,"-")</f>
        <v>-8.4413721958297355E-2</v>
      </c>
      <c r="H12" s="39">
        <f>(Table5[[#This Row],[T% of Pop]]-$R$17)/$R$18</f>
        <v>-0.31324886841157923</v>
      </c>
      <c r="I12" s="32">
        <f>Table5[[#This Row],[Dem Votes]]/Table5[[#This Row],[Population]]</f>
        <v>0.18506442196531792</v>
      </c>
      <c r="J12" s="36">
        <f>(Table5[[#This Row],[D% of Pop]]-$Q$6)/$Q$7</f>
        <v>0.21477696960331419</v>
      </c>
      <c r="K12" s="36">
        <f>IFERROR(Table5[[#This Row],[D%Z-Score2]]-J11,"-")</f>
        <v>-0.67158828902135581</v>
      </c>
      <c r="L12" s="32">
        <f>Table5[[#This Row],[Rep Votes]]/Table5[[#This Row],[Population]]</f>
        <v>0.15908908236994221</v>
      </c>
      <c r="M12" s="35">
        <f>Table5[[#This Row],[Rep Votes]]/Table5[[#This Row],[Population]]</f>
        <v>0.15908908236994221</v>
      </c>
      <c r="N12" s="37">
        <f>(Table5[[#This Row],[R% of Pop2]]-$T$6)/$T$7</f>
        <v>-0.57449587987227491</v>
      </c>
      <c r="O12" s="37">
        <f>IFERROR(Table5[[#This Row],[R%Z-Score]]-N11,"-")</f>
        <v>-0.24674622599135049</v>
      </c>
      <c r="P12" t="s">
        <v>56</v>
      </c>
      <c r="Q12" s="5">
        <f>MIN(Table5[D% of Pop])</f>
        <v>0.12459931955854286</v>
      </c>
      <c r="S12" t="s">
        <v>56</v>
      </c>
      <c r="T12" s="5">
        <f>MIN(Table5[R% of Pop])</f>
        <v>8.6493674604007129E-2</v>
      </c>
    </row>
    <row r="13" spans="1:21" x14ac:dyDescent="0.35">
      <c r="A13" s="15">
        <v>1948</v>
      </c>
      <c r="B13" s="34">
        <v>146630000</v>
      </c>
      <c r="C13" s="34">
        <v>24179347</v>
      </c>
      <c r="D13" s="34">
        <v>21991292</v>
      </c>
      <c r="E13" s="34">
        <f>Table5[[#This Row],[Dem Votes]]+Table5[[#This Row],[Rep Votes]]</f>
        <v>46170639</v>
      </c>
      <c r="F13" s="31">
        <f>Table5[[#This Row],[Total Votes]]/Table5[[#This Row],[Population]]</f>
        <v>0.31487853099638546</v>
      </c>
      <c r="G13" s="35">
        <f>IFERROR((Table5[[#This Row],[T% of Pop]]-F12)/F12,"-")</f>
        <v>-8.5063708403666768E-2</v>
      </c>
      <c r="H13" s="39">
        <f>(Table5[[#This Row],[T% of Pop]]-$R$17)/$R$18</f>
        <v>-0.86943810242178043</v>
      </c>
      <c r="I13" s="32">
        <f>Table5[[#This Row],[Dem Votes]]/Table5[[#This Row],[Population]]</f>
        <v>0.16490040919320739</v>
      </c>
      <c r="J13" s="36">
        <f>(Table5[[#This Row],[D% of Pop]]-$Q$6)/$Q$7</f>
        <v>-0.41009618329035807</v>
      </c>
      <c r="K13" s="36">
        <f>IFERROR(Table5[[#This Row],[D%Z-Score2]]-J12,"-")</f>
        <v>-0.62487315289367229</v>
      </c>
      <c r="L13" s="32">
        <f>Table5[[#This Row],[Rep Votes]]/Table5[[#This Row],[Population]]</f>
        <v>0.14997812180317807</v>
      </c>
      <c r="M13" s="35">
        <f>Table5[[#This Row],[Rep Votes]]/Table5[[#This Row],[Population]]</f>
        <v>0.14997812180317807</v>
      </c>
      <c r="N13" s="37">
        <f>(Table5[[#This Row],[R% of Pop2]]-$T$6)/$T$7</f>
        <v>-0.79800372286098364</v>
      </c>
      <c r="O13" s="37">
        <f>IFERROR(Table5[[#This Row],[R%Z-Score]]-N12,"-")</f>
        <v>-0.22350784298870874</v>
      </c>
      <c r="P13" t="s">
        <v>57</v>
      </c>
      <c r="Q13" s="5">
        <f>MAX(Table5[D% of Pop])</f>
        <v>0.24517691008355202</v>
      </c>
      <c r="S13" t="s">
        <v>57</v>
      </c>
      <c r="T13" s="5">
        <f>MAX(Table5[R% of Pop])</f>
        <v>0.27559002716676889</v>
      </c>
    </row>
    <row r="14" spans="1:21" x14ac:dyDescent="0.35">
      <c r="A14" s="15">
        <v>1952</v>
      </c>
      <c r="B14" s="34">
        <v>157550000</v>
      </c>
      <c r="C14" s="34">
        <v>27375090</v>
      </c>
      <c r="D14" s="34">
        <v>34075529</v>
      </c>
      <c r="E14" s="34">
        <f>Table5[[#This Row],[Dem Votes]]+Table5[[#This Row],[Rep Votes]]</f>
        <v>61450619</v>
      </c>
      <c r="F14" s="31">
        <f>Table5[[#This Row],[Total Votes]]/Table5[[#This Row],[Population]]</f>
        <v>0.39003883846397969</v>
      </c>
      <c r="G14" s="35">
        <f>IFERROR((Table5[[#This Row],[T% of Pop]]-F13)/F13,"-")</f>
        <v>0.23869619573541836</v>
      </c>
      <c r="H14" s="39">
        <f>(Table5[[#This Row],[T% of Pop]]-$R$17)/$R$18</f>
        <v>0.55851721471803739</v>
      </c>
      <c r="I14" s="32">
        <f>Table5[[#This Row],[Dem Votes]]/Table5[[#This Row],[Population]]</f>
        <v>0.17375493494128849</v>
      </c>
      <c r="J14" s="36">
        <f>(Table5[[#This Row],[D% of Pop]]-$Q$6)/$Q$7</f>
        <v>-0.13569864723868277</v>
      </c>
      <c r="K14" s="36">
        <f>IFERROR(Table5[[#This Row],[D%Z-Score2]]-J13,"-")</f>
        <v>0.27439753605167527</v>
      </c>
      <c r="L14" s="32">
        <f>Table5[[#This Row],[Rep Votes]]/Table5[[#This Row],[Population]]</f>
        <v>0.2162839035226912</v>
      </c>
      <c r="M14" s="35">
        <f>Table5[[#This Row],[Rep Votes]]/Table5[[#This Row],[Population]]</f>
        <v>0.2162839035226912</v>
      </c>
      <c r="N14" s="37">
        <f>(Table5[[#This Row],[R% of Pop2]]-$T$6)/$T$7</f>
        <v>0.82859340059380215</v>
      </c>
      <c r="O14" s="37">
        <f>IFERROR(Table5[[#This Row],[R%Z-Score]]-N13,"-")</f>
        <v>1.6265971234547858</v>
      </c>
    </row>
    <row r="15" spans="1:21" x14ac:dyDescent="0.35">
      <c r="A15" s="15">
        <v>1956</v>
      </c>
      <c r="B15" s="34">
        <v>168900000</v>
      </c>
      <c r="C15" s="34">
        <v>26028028</v>
      </c>
      <c r="D15" s="34">
        <v>35579180</v>
      </c>
      <c r="E15" s="34">
        <f>Table5[[#This Row],[Dem Votes]]+Table5[[#This Row],[Rep Votes]]</f>
        <v>61607208</v>
      </c>
      <c r="F15" s="31">
        <f>Table5[[#This Row],[Total Votes]]/Table5[[#This Row],[Population]]</f>
        <v>0.3647555239786856</v>
      </c>
      <c r="G15" s="35">
        <f>IFERROR((Table5[[#This Row],[T% of Pop]]-F14)/F14,"-")</f>
        <v>-6.482255609431832E-2</v>
      </c>
      <c r="H15" s="39">
        <f>(Table5[[#This Row],[T% of Pop]]-$R$17)/$R$18</f>
        <v>7.8164691283243562E-2</v>
      </c>
      <c r="I15" s="32">
        <f>Table5[[#This Row],[Dem Votes]]/Table5[[#This Row],[Population]]</f>
        <v>0.15410318531675549</v>
      </c>
      <c r="J15" s="36">
        <f>(Table5[[#This Row],[D% of Pop]]-$Q$6)/$Q$7</f>
        <v>-0.74469700914924575</v>
      </c>
      <c r="K15" s="36">
        <f>IFERROR(Table5[[#This Row],[D%Z-Score2]]-J14,"-")</f>
        <v>-0.608998361910563</v>
      </c>
      <c r="L15" s="32">
        <f>Table5[[#This Row],[Rep Votes]]/Table5[[#This Row],[Population]]</f>
        <v>0.21065233866193014</v>
      </c>
      <c r="M15" s="35">
        <f>Table5[[#This Row],[Rep Votes]]/Table5[[#This Row],[Population]]</f>
        <v>0.21065233866193014</v>
      </c>
      <c r="N15" s="37">
        <f>(Table5[[#This Row],[R% of Pop2]]-$T$6)/$T$7</f>
        <v>0.69044123700401383</v>
      </c>
      <c r="O15" s="37">
        <f>IFERROR(Table5[[#This Row],[R%Z-Score]]-N14,"-")</f>
        <v>-0.13815216358978832</v>
      </c>
    </row>
    <row r="16" spans="1:21" x14ac:dyDescent="0.35">
      <c r="A16" s="15">
        <v>1960</v>
      </c>
      <c r="B16" s="34">
        <v>180670000</v>
      </c>
      <c r="C16" s="34">
        <v>34220984</v>
      </c>
      <c r="D16" s="34">
        <v>34108157</v>
      </c>
      <c r="E16" s="34">
        <f>Table5[[#This Row],[Dem Votes]]+Table5[[#This Row],[Rep Votes]]</f>
        <v>68329141</v>
      </c>
      <c r="F16" s="31">
        <f>Table5[[#This Row],[Total Votes]]/Table5[[#This Row],[Population]]</f>
        <v>0.37819859965683289</v>
      </c>
      <c r="G16" s="35">
        <f>IFERROR((Table5[[#This Row],[T% of Pop]]-F15)/F15,"-")</f>
        <v>3.6855029723779673E-2</v>
      </c>
      <c r="H16" s="39">
        <f>(Table5[[#This Row],[T% of Pop]]-$R$17)/$R$18</f>
        <v>0.33356693802897286</v>
      </c>
      <c r="I16" s="32">
        <f>Table5[[#This Row],[Dem Votes]]/Table5[[#This Row],[Population]]</f>
        <v>0.18941154591243703</v>
      </c>
      <c r="J16" s="36">
        <f>(Table5[[#This Row],[D% of Pop]]-$Q$6)/$Q$7</f>
        <v>0.34949227044923731</v>
      </c>
      <c r="K16" s="36">
        <f>IFERROR(Table5[[#This Row],[D%Z-Score2]]-J15,"-")</f>
        <v>1.0941892795984831</v>
      </c>
      <c r="L16" s="32">
        <f>Table5[[#This Row],[Rep Votes]]/Table5[[#This Row],[Population]]</f>
        <v>0.18878705374439586</v>
      </c>
      <c r="M16" s="35">
        <f>Table5[[#This Row],[Rep Votes]]/Table5[[#This Row],[Population]]</f>
        <v>0.18878705374439586</v>
      </c>
      <c r="N16" s="37">
        <f>(Table5[[#This Row],[R% of Pop2]]-$T$6)/$T$7</f>
        <v>0.15404744708035378</v>
      </c>
      <c r="O16" s="37">
        <f>IFERROR(Table5[[#This Row],[R%Z-Score]]-N15,"-")</f>
        <v>-0.53639378992366005</v>
      </c>
      <c r="T16" t="s">
        <v>97</v>
      </c>
      <c r="U16" t="s">
        <v>98</v>
      </c>
    </row>
    <row r="17" spans="1:21" x14ac:dyDescent="0.35">
      <c r="A17" s="15">
        <v>1964</v>
      </c>
      <c r="B17" s="34">
        <v>191890000</v>
      </c>
      <c r="C17" s="34">
        <v>43129040</v>
      </c>
      <c r="D17" s="34">
        <v>27175754</v>
      </c>
      <c r="E17" s="34">
        <f>Table5[[#This Row],[Dem Votes]]+Table5[[#This Row],[Rep Votes]]</f>
        <v>70304794</v>
      </c>
      <c r="F17" s="31">
        <f>Table5[[#This Row],[Total Votes]]/Table5[[#This Row],[Population]]</f>
        <v>0.36638070769711811</v>
      </c>
      <c r="G17" s="35">
        <f>IFERROR((Table5[[#This Row],[T% of Pop]]-F16)/F16,"-")</f>
        <v>-3.1247846952468915E-2</v>
      </c>
      <c r="H17" s="39">
        <f>(Table5[[#This Row],[T% of Pop]]-$R$17)/$R$18</f>
        <v>0.1090412245260771</v>
      </c>
      <c r="I17" s="32">
        <f>Table5[[#This Row],[Dem Votes]]/Table5[[#This Row],[Population]]</f>
        <v>0.22475918494971078</v>
      </c>
      <c r="J17" s="36">
        <f>(Table5[[#This Row],[D% of Pop]]-$Q$6)/$Q$7</f>
        <v>1.4448987702466891</v>
      </c>
      <c r="K17" s="36">
        <f>IFERROR(Table5[[#This Row],[D%Z-Score2]]-J16,"-")</f>
        <v>1.0954064997974517</v>
      </c>
      <c r="L17" s="32">
        <f>Table5[[#This Row],[Rep Votes]]/Table5[[#This Row],[Population]]</f>
        <v>0.14162152274740736</v>
      </c>
      <c r="M17" s="35">
        <f>Table5[[#This Row],[Rep Votes]]/Table5[[#This Row],[Population]]</f>
        <v>0.14162152274740736</v>
      </c>
      <c r="N17" s="37">
        <f>(Table5[[#This Row],[R% of Pop2]]-$T$6)/$T$7</f>
        <v>-1.0030057548629892</v>
      </c>
      <c r="O17" s="37">
        <f>IFERROR(Table5[[#This Row],[R%Z-Score]]-N16,"-")</f>
        <v>-1.1570532019433428</v>
      </c>
      <c r="Q17" t="s">
        <v>65</v>
      </c>
      <c r="R17" s="5">
        <f>AVERAGE(Table5[T% of Pop])</f>
        <v>0.36064133205724264</v>
      </c>
      <c r="T17" s="1">
        <f>_xlfn.NORM.DIST(R25,R17,R18,TRUE)</f>
        <v>0.94550099362524709</v>
      </c>
      <c r="U17" s="40">
        <f>1-T17</f>
        <v>5.4499006374752912E-2</v>
      </c>
    </row>
    <row r="18" spans="1:21" x14ac:dyDescent="0.35">
      <c r="A18" s="15">
        <v>1968</v>
      </c>
      <c r="B18" s="34">
        <v>200710000</v>
      </c>
      <c r="C18" s="34">
        <v>31271839</v>
      </c>
      <c r="D18" s="34">
        <v>31783783</v>
      </c>
      <c r="E18" s="34">
        <f>Table5[[#This Row],[Dem Votes]]+Table5[[#This Row],[Rep Votes]]</f>
        <v>63055622</v>
      </c>
      <c r="F18" s="31">
        <f>Table5[[#This Row],[Total Votes]]/Table5[[#This Row],[Population]]</f>
        <v>0.31416283194658962</v>
      </c>
      <c r="G18" s="35">
        <f>IFERROR((Table5[[#This Row],[T% of Pop]]-F17)/F17,"-")</f>
        <v>-0.14252354082381516</v>
      </c>
      <c r="H18" s="39">
        <f>(Table5[[#This Row],[T% of Pop]]-$R$17)/$R$18</f>
        <v>-0.88303552236406224</v>
      </c>
      <c r="I18" s="32">
        <f>Table5[[#This Row],[Dem Votes]]/Table5[[#This Row],[Population]]</f>
        <v>0.15580608340391611</v>
      </c>
      <c r="J18" s="36">
        <f>(Table5[[#This Row],[D% of Pop]]-$Q$6)/$Q$7</f>
        <v>-0.69192500841671079</v>
      </c>
      <c r="K18" s="36">
        <f>IFERROR(Table5[[#This Row],[D%Z-Score2]]-J17,"-")</f>
        <v>-2.1368237786634001</v>
      </c>
      <c r="L18" s="32">
        <f>Table5[[#This Row],[Rep Votes]]/Table5[[#This Row],[Population]]</f>
        <v>0.15835674854267351</v>
      </c>
      <c r="M18" s="35">
        <f>Table5[[#This Row],[Rep Votes]]/Table5[[#This Row],[Population]]</f>
        <v>0.15835674854267351</v>
      </c>
      <c r="N18" s="37">
        <f>(Table5[[#This Row],[R% of Pop2]]-$T$6)/$T$7</f>
        <v>-0.59246131314147266</v>
      </c>
      <c r="O18" s="37">
        <f>IFERROR(Table5[[#This Row],[R%Z-Score]]-N17,"-")</f>
        <v>0.4105444417215165</v>
      </c>
      <c r="Q18" t="s">
        <v>80</v>
      </c>
      <c r="R18" s="5">
        <f>_xlfn.STDEV.S(Table5[T% of Pop])</f>
        <v>5.263491550851862E-2</v>
      </c>
    </row>
    <row r="19" spans="1:21" x14ac:dyDescent="0.35">
      <c r="A19" s="15">
        <v>1972</v>
      </c>
      <c r="B19" s="34">
        <v>209900000</v>
      </c>
      <c r="C19" s="34">
        <v>29173222</v>
      </c>
      <c r="D19" s="34">
        <v>47168710</v>
      </c>
      <c r="E19" s="34">
        <f>Table5[[#This Row],[Dem Votes]]+Table5[[#This Row],[Rep Votes]]</f>
        <v>76341932</v>
      </c>
      <c r="F19" s="31">
        <f>Table5[[#This Row],[Total Votes]]/Table5[[#This Row],[Population]]</f>
        <v>0.36370620295378753</v>
      </c>
      <c r="G19" s="35">
        <f>IFERROR((Table5[[#This Row],[T% of Pop]]-F18)/F18,"-")</f>
        <v>0.15769965753180093</v>
      </c>
      <c r="H19" s="39">
        <f>(Table5[[#This Row],[T% of Pop]]-$R$17)/$R$18</f>
        <v>5.8228855635739769E-2</v>
      </c>
      <c r="I19" s="32">
        <f>Table5[[#This Row],[Dem Votes]]/Table5[[#This Row],[Population]]</f>
        <v>0.138986288708909</v>
      </c>
      <c r="J19" s="36">
        <f>(Table5[[#This Row],[D% of Pop]]-$Q$6)/$Q$7</f>
        <v>-1.2131624357521265</v>
      </c>
      <c r="K19" s="36">
        <f>IFERROR(Table5[[#This Row],[D%Z-Score2]]-J18,"-")</f>
        <v>-0.52123742733541567</v>
      </c>
      <c r="L19" s="32">
        <f>Table5[[#This Row],[Rep Votes]]/Table5[[#This Row],[Population]]</f>
        <v>0.22471991424487853</v>
      </c>
      <c r="M19" s="35">
        <f>Table5[[#This Row],[Rep Votes]]/Table5[[#This Row],[Population]]</f>
        <v>0.22471991424487853</v>
      </c>
      <c r="N19" s="37">
        <f>(Table5[[#This Row],[R% of Pop2]]-$T$6)/$T$7</f>
        <v>1.0355435400581168</v>
      </c>
      <c r="O19" s="37">
        <f>IFERROR(Table5[[#This Row],[R%Z-Score]]-N18,"-")</f>
        <v>1.6280048531995894</v>
      </c>
      <c r="Q19" t="s">
        <v>58</v>
      </c>
      <c r="R19" s="5">
        <f>_xlfn.QUARTILE.INC(Table5[T% of Pop],1)</f>
        <v>0.32752890335659429</v>
      </c>
    </row>
    <row r="20" spans="1:21" x14ac:dyDescent="0.35">
      <c r="A20" s="15">
        <v>1976</v>
      </c>
      <c r="B20" s="34">
        <v>218040000</v>
      </c>
      <c r="C20" s="34">
        <v>40831881</v>
      </c>
      <c r="D20" s="34">
        <v>39148634</v>
      </c>
      <c r="E20" s="34">
        <f>Table5[[#This Row],[Dem Votes]]+Table5[[#This Row],[Rep Votes]]</f>
        <v>79980515</v>
      </c>
      <c r="F20" s="31">
        <f>Table5[[#This Row],[Total Votes]]/Table5[[#This Row],[Population]]</f>
        <v>0.36681579068060904</v>
      </c>
      <c r="G20" s="35">
        <f>IFERROR((Table5[[#This Row],[T% of Pop]]-F19)/F19,"-")</f>
        <v>8.5497242047769539E-3</v>
      </c>
      <c r="H20" s="39">
        <f>(Table5[[#This Row],[T% of Pop]]-$R$17)/$R$18</f>
        <v>0.11730727718879137</v>
      </c>
      <c r="I20" s="32">
        <f>Table5[[#This Row],[Dem Votes]]/Table5[[#This Row],[Population]]</f>
        <v>0.18726784534947716</v>
      </c>
      <c r="J20" s="36">
        <f>(Table5[[#This Row],[D% of Pop]]-$Q$6)/$Q$7</f>
        <v>0.28306001091955502</v>
      </c>
      <c r="K20" s="36">
        <f>IFERROR(Table5[[#This Row],[D%Z-Score2]]-J19,"-")</f>
        <v>1.4962224466716814</v>
      </c>
      <c r="L20" s="32">
        <f>Table5[[#This Row],[Rep Votes]]/Table5[[#This Row],[Population]]</f>
        <v>0.17954794533113191</v>
      </c>
      <c r="M20" s="35">
        <f>Table5[[#This Row],[Rep Votes]]/Table5[[#This Row],[Population]]</f>
        <v>0.17954794533113191</v>
      </c>
      <c r="N20" s="37">
        <f>(Table5[[#This Row],[R% of Pop2]]-$T$6)/$T$7</f>
        <v>-7.260408734955201E-2</v>
      </c>
      <c r="O20" s="37">
        <f>IFERROR(Table5[[#This Row],[R%Z-Score]]-N19,"-")</f>
        <v>-1.1081476274076687</v>
      </c>
      <c r="Q20" t="s">
        <v>60</v>
      </c>
      <c r="R20" s="5">
        <f>_xlfn.QUARTILE.INC(Table5[T% of Pop],3)</f>
        <v>0.39026725468577728</v>
      </c>
    </row>
    <row r="21" spans="1:21" x14ac:dyDescent="0.35">
      <c r="A21" s="15">
        <v>1980</v>
      </c>
      <c r="B21" s="34">
        <v>227220000</v>
      </c>
      <c r="C21" s="34">
        <v>35481115</v>
      </c>
      <c r="D21" s="34">
        <v>43903230</v>
      </c>
      <c r="E21" s="34">
        <f>Table5[[#This Row],[Dem Votes]]+Table5[[#This Row],[Rep Votes]]</f>
        <v>79384345</v>
      </c>
      <c r="F21" s="31">
        <f>Table5[[#This Row],[Total Votes]]/Table5[[#This Row],[Population]]</f>
        <v>0.34937217234398382</v>
      </c>
      <c r="G21" s="35">
        <f>IFERROR((Table5[[#This Row],[T% of Pop]]-F20)/F20,"-")</f>
        <v>-4.7554164187586984E-2</v>
      </c>
      <c r="H21" s="39">
        <f>(Table5[[#This Row],[T% of Pop]]-$R$17)/$R$18</f>
        <v>-0.21410046172554364</v>
      </c>
      <c r="I21" s="32">
        <f>Table5[[#This Row],[Dem Votes]]/Table5[[#This Row],[Population]]</f>
        <v>0.15615313352697827</v>
      </c>
      <c r="J21" s="36">
        <f>(Table5[[#This Row],[D% of Pop]]-$Q$6)/$Q$7</f>
        <v>-0.68117009038224408</v>
      </c>
      <c r="K21" s="36">
        <f>IFERROR(Table5[[#This Row],[D%Z-Score2]]-J20,"-")</f>
        <v>-0.96423010130179909</v>
      </c>
      <c r="L21" s="32">
        <f>Table5[[#This Row],[Rep Votes]]/Table5[[#This Row],[Population]]</f>
        <v>0.19321903881700556</v>
      </c>
      <c r="M21" s="35">
        <f>Table5[[#This Row],[Rep Votes]]/Table5[[#This Row],[Population]]</f>
        <v>0.19321903881700556</v>
      </c>
      <c r="N21" s="37">
        <f>(Table5[[#This Row],[R% of Pop2]]-$T$6)/$T$7</f>
        <v>0.2627718144484551</v>
      </c>
      <c r="O21" s="37">
        <f>IFERROR(Table5[[#This Row],[R%Z-Score]]-N20,"-")</f>
        <v>0.33537590179800714</v>
      </c>
      <c r="Q21" t="s">
        <v>67</v>
      </c>
      <c r="R21" s="5">
        <f>R20-R19</f>
        <v>6.2738351329182984E-2</v>
      </c>
    </row>
    <row r="22" spans="1:21" x14ac:dyDescent="0.35">
      <c r="A22" s="15">
        <v>1984</v>
      </c>
      <c r="B22" s="34">
        <v>235820000</v>
      </c>
      <c r="C22" s="34">
        <v>37577352</v>
      </c>
      <c r="D22" s="34">
        <v>54455472</v>
      </c>
      <c r="E22" s="34">
        <f>Table5[[#This Row],[Dem Votes]]+Table5[[#This Row],[Rep Votes]]</f>
        <v>92032824</v>
      </c>
      <c r="F22" s="31">
        <f>Table5[[#This Row],[Total Votes]]/Table5[[#This Row],[Population]]</f>
        <v>0.39026725468577728</v>
      </c>
      <c r="G22" s="35">
        <f>IFERROR((Table5[[#This Row],[T% of Pop]]-F21)/F21,"-")</f>
        <v>0.11705306140275275</v>
      </c>
      <c r="H22" s="39">
        <f>(Table5[[#This Row],[T% of Pop]]-$R$17)/$R$18</f>
        <v>0.56285684782261836</v>
      </c>
      <c r="I22" s="32">
        <f>Table5[[#This Row],[Dem Votes]]/Table5[[#This Row],[Population]]</f>
        <v>0.15934760410482571</v>
      </c>
      <c r="J22" s="36">
        <f>(Table5[[#This Row],[D% of Pop]]-$Q$6)/$Q$7</f>
        <v>-0.58217496851014716</v>
      </c>
      <c r="K22" s="36">
        <f>IFERROR(Table5[[#This Row],[D%Z-Score2]]-J21,"-")</f>
        <v>9.8995121872096914E-2</v>
      </c>
      <c r="L22" s="32">
        <f>Table5[[#This Row],[Rep Votes]]/Table5[[#This Row],[Population]]</f>
        <v>0.23091965058095157</v>
      </c>
      <c r="M22" s="35">
        <f>Table5[[#This Row],[Rep Votes]]/Table5[[#This Row],[Population]]</f>
        <v>0.23091965058095157</v>
      </c>
      <c r="N22" s="37">
        <f>(Table5[[#This Row],[R% of Pop2]]-$T$6)/$T$7</f>
        <v>1.1876339464889449</v>
      </c>
      <c r="O22" s="37">
        <f>IFERROR(Table5[[#This Row],[R%Z-Score]]-N21,"-")</f>
        <v>0.92486213204048984</v>
      </c>
      <c r="Q22" t="s">
        <v>69</v>
      </c>
      <c r="R22" s="5">
        <f>R20+(1.5*R21)</f>
        <v>0.48437478167955172</v>
      </c>
    </row>
    <row r="23" spans="1:21" x14ac:dyDescent="0.35">
      <c r="A23" s="15">
        <v>1988</v>
      </c>
      <c r="B23" s="34">
        <v>244500000</v>
      </c>
      <c r="C23" s="34">
        <v>41809476</v>
      </c>
      <c r="D23" s="34">
        <v>48886597</v>
      </c>
      <c r="E23" s="34">
        <f>Table5[[#This Row],[Dem Votes]]+Table5[[#This Row],[Rep Votes]]</f>
        <v>90696073</v>
      </c>
      <c r="F23" s="31">
        <f>Table5[[#This Row],[Total Votes]]/Table5[[#This Row],[Population]]</f>
        <v>0.3709450838445808</v>
      </c>
      <c r="G23" s="35">
        <f>IFERROR((Table5[[#This Row],[T% of Pop]]-F22)/F22,"-")</f>
        <v>-4.9510100089626204E-2</v>
      </c>
      <c r="H23" s="39">
        <f>(Table5[[#This Row],[T% of Pop]]-$R$17)/$R$18</f>
        <v>0.19575887389180993</v>
      </c>
      <c r="I23" s="32">
        <f>Table5[[#This Row],[Dem Votes]]/Table5[[#This Row],[Population]]</f>
        <v>0.1709999018404908</v>
      </c>
      <c r="J23" s="36">
        <f>(Table5[[#This Row],[D% of Pop]]-$Q$6)/$Q$7</f>
        <v>-0.22107581097481221</v>
      </c>
      <c r="K23" s="36">
        <f>IFERROR(Table5[[#This Row],[D%Z-Score2]]-J22,"-")</f>
        <v>0.36109915753533495</v>
      </c>
      <c r="L23" s="32">
        <f>Table5[[#This Row],[Rep Votes]]/Table5[[#This Row],[Population]]</f>
        <v>0.19994518200408998</v>
      </c>
      <c r="M23" s="35">
        <f>Table5[[#This Row],[Rep Votes]]/Table5[[#This Row],[Population]]</f>
        <v>0.19994518200408998</v>
      </c>
      <c r="N23" s="37">
        <f>(Table5[[#This Row],[R% of Pop2]]-$T$6)/$T$7</f>
        <v>0.42777590423263118</v>
      </c>
      <c r="O23" s="37">
        <f>IFERROR(Table5[[#This Row],[R%Z-Score]]-N22,"-")</f>
        <v>-0.7598580422563137</v>
      </c>
      <c r="Q23" t="s">
        <v>56</v>
      </c>
      <c r="R23" s="5">
        <f>MIN(Table5[T% of Pop])</f>
        <v>0.2185881674184412</v>
      </c>
    </row>
    <row r="24" spans="1:21" x14ac:dyDescent="0.35">
      <c r="A24" s="15">
        <v>1992</v>
      </c>
      <c r="B24" s="34">
        <v>256510000</v>
      </c>
      <c r="C24" s="34">
        <v>44909889</v>
      </c>
      <c r="D24" s="34">
        <v>39104550</v>
      </c>
      <c r="E24" s="34">
        <f>Table5[[#This Row],[Dem Votes]]+Table5[[#This Row],[Rep Votes]]</f>
        <v>84014439</v>
      </c>
      <c r="F24" s="31">
        <f>Table5[[#This Row],[Total Votes]]/Table5[[#This Row],[Population]]</f>
        <v>0.32752890335659429</v>
      </c>
      <c r="G24" s="35">
        <f>IFERROR((Table5[[#This Row],[T% of Pop]]-F23)/F23,"-")</f>
        <v>-0.11704207004985433</v>
      </c>
      <c r="H24" s="39">
        <f>(Table5[[#This Row],[T% of Pop]]-$R$17)/$R$18</f>
        <v>-0.62909626396739082</v>
      </c>
      <c r="I24" s="32">
        <f>Table5[[#This Row],[Dem Votes]]/Table5[[#This Row],[Population]]</f>
        <v>0.17508046080074852</v>
      </c>
      <c r="J24" s="36">
        <f>(Table5[[#This Row],[D% of Pop]]-$Q$6)/$Q$7</f>
        <v>-9.4621232122753668E-2</v>
      </c>
      <c r="K24" s="36">
        <f>IFERROR(Table5[[#This Row],[D%Z-Score2]]-J23,"-")</f>
        <v>0.12645457885205855</v>
      </c>
      <c r="L24" s="32">
        <f>Table5[[#This Row],[Rep Votes]]/Table5[[#This Row],[Population]]</f>
        <v>0.15244844255584578</v>
      </c>
      <c r="M24" s="35">
        <f>Table5[[#This Row],[Rep Votes]]/Table5[[#This Row],[Population]]</f>
        <v>0.15244844255584578</v>
      </c>
      <c r="N24" s="37">
        <f>(Table5[[#This Row],[R% of Pop2]]-$T$6)/$T$7</f>
        <v>-0.73740242194731942</v>
      </c>
      <c r="O24" s="37">
        <f>IFERROR(Table5[[#This Row],[R%Z-Score]]-N23,"-")</f>
        <v>-1.1651783261799507</v>
      </c>
      <c r="Q24" t="s">
        <v>57</v>
      </c>
      <c r="R24" s="5">
        <f>MAX(Table5[T% of Pop])</f>
        <v>0.46906004283171959</v>
      </c>
    </row>
    <row r="25" spans="1:21" x14ac:dyDescent="0.35">
      <c r="A25" s="15">
        <v>1996</v>
      </c>
      <c r="B25" s="34">
        <v>269390000</v>
      </c>
      <c r="C25" s="34">
        <v>47401185</v>
      </c>
      <c r="D25" s="34">
        <v>39197469</v>
      </c>
      <c r="E25" s="34">
        <f>Table5[[#This Row],[Dem Votes]]+Table5[[#This Row],[Rep Votes]]</f>
        <v>86598654</v>
      </c>
      <c r="F25" s="31">
        <f>Table5[[#This Row],[Total Votes]]/Table5[[#This Row],[Population]]</f>
        <v>0.32146202160436543</v>
      </c>
      <c r="G25" s="35">
        <f>IFERROR((Table5[[#This Row],[T% of Pop]]-F24)/F24,"-")</f>
        <v>-1.85231950220393E-2</v>
      </c>
      <c r="H25" s="39">
        <f>(Table5[[#This Row],[T% of Pop]]-$R$17)/$R$18</f>
        <v>-0.74435971017254288</v>
      </c>
      <c r="I25" s="32">
        <f>Table5[[#This Row],[Dem Votes]]/Table5[[#This Row],[Population]]</f>
        <v>0.17595747800586511</v>
      </c>
      <c r="J25" s="36">
        <f>(Table5[[#This Row],[D% of Pop]]-$Q$6)/$Q$7</f>
        <v>-6.7442886607063712E-2</v>
      </c>
      <c r="K25" s="36">
        <f>IFERROR(Table5[[#This Row],[D%Z-Score2]]-J24,"-")</f>
        <v>2.7178345515689956E-2</v>
      </c>
      <c r="L25" s="32">
        <f>Table5[[#This Row],[Rep Votes]]/Table5[[#This Row],[Population]]</f>
        <v>0.14550454359850032</v>
      </c>
      <c r="M25" s="35">
        <f>Table5[[#This Row],[Rep Votes]]/Table5[[#This Row],[Population]]</f>
        <v>0.14550454359850032</v>
      </c>
      <c r="N25" s="37">
        <f>(Table5[[#This Row],[R% of Pop2]]-$T$6)/$T$7</f>
        <v>-0.90774844271152111</v>
      </c>
      <c r="O25" s="37">
        <f>IFERROR(Table5[[#This Row],[R%Z-Score]]-N24,"-")</f>
        <v>-0.17034602076420169</v>
      </c>
      <c r="Q25" t="s">
        <v>99</v>
      </c>
      <c r="R25" s="40">
        <v>0.44500000000000001</v>
      </c>
    </row>
    <row r="26" spans="1:21" x14ac:dyDescent="0.35">
      <c r="A26" s="15">
        <v>2000</v>
      </c>
      <c r="B26" s="34">
        <v>282160000</v>
      </c>
      <c r="C26" s="34">
        <v>50999897</v>
      </c>
      <c r="D26" s="34">
        <v>50456002</v>
      </c>
      <c r="E26" s="34">
        <f>Table5[[#This Row],[Dem Votes]]+Table5[[#This Row],[Rep Votes]]</f>
        <v>101455899</v>
      </c>
      <c r="F26" s="31">
        <f>Table5[[#This Row],[Total Votes]]/Table5[[#This Row],[Population]]</f>
        <v>0.35956868089027499</v>
      </c>
      <c r="G26" s="35">
        <f>IFERROR((Table5[[#This Row],[T% of Pop]]-F25)/F25,"-")</f>
        <v>0.11854171480576564</v>
      </c>
      <c r="H26" s="39">
        <f>(Table5[[#This Row],[T% of Pop]]-$R$17)/$R$18</f>
        <v>-2.0379080247484017E-2</v>
      </c>
      <c r="I26" s="32">
        <f>Table5[[#This Row],[Dem Votes]]/Table5[[#This Row],[Population]]</f>
        <v>0.18074814644173517</v>
      </c>
      <c r="J26" s="36">
        <f>(Table5[[#This Row],[D% of Pop]]-$Q$6)/$Q$7</f>
        <v>8.1017646711522978E-2</v>
      </c>
      <c r="K26" s="36">
        <f>IFERROR(Table5[[#This Row],[D%Z-Score2]]-J25,"-")</f>
        <v>0.14846053331858669</v>
      </c>
      <c r="L26" s="32">
        <f>Table5[[#This Row],[Rep Votes]]/Table5[[#This Row],[Population]]</f>
        <v>0.17882053444853985</v>
      </c>
      <c r="M26" s="35">
        <f>Table5[[#This Row],[Rep Votes]]/Table5[[#This Row],[Population]]</f>
        <v>0.17882053444853985</v>
      </c>
      <c r="N26" s="37">
        <f>(Table5[[#This Row],[R% of Pop2]]-$T$6)/$T$7</f>
        <v>-9.0448752151170014E-2</v>
      </c>
      <c r="O26" s="37">
        <f>IFERROR(Table5[[#This Row],[R%Z-Score]]-N25,"-")</f>
        <v>0.81729969056035112</v>
      </c>
    </row>
    <row r="27" spans="1:21" x14ac:dyDescent="0.35">
      <c r="A27" s="15">
        <v>2004</v>
      </c>
      <c r="B27" s="34">
        <v>292810000</v>
      </c>
      <c r="C27" s="34">
        <v>59028444</v>
      </c>
      <c r="D27" s="34">
        <v>62040610</v>
      </c>
      <c r="E27" s="34">
        <f>Table5[[#This Row],[Dem Votes]]+Table5[[#This Row],[Rep Votes]]</f>
        <v>121069054</v>
      </c>
      <c r="F27" s="31">
        <f>Table5[[#This Row],[Total Votes]]/Table5[[#This Row],[Population]]</f>
        <v>0.41347308493562379</v>
      </c>
      <c r="G27" s="35">
        <f>IFERROR((Table5[[#This Row],[T% of Pop]]-F26)/F26,"-")</f>
        <v>0.14991406902259688</v>
      </c>
      <c r="H27" s="39">
        <f>(Table5[[#This Row],[T% of Pop]]-$R$17)/$R$18</f>
        <v>1.003739672952086</v>
      </c>
      <c r="I27" s="32">
        <f>Table5[[#This Row],[Dem Votes]]/Table5[[#This Row],[Population]]</f>
        <v>0.20159299204262149</v>
      </c>
      <c r="J27" s="36">
        <f>(Table5[[#This Row],[D% of Pop]]-$Q$6)/$Q$7</f>
        <v>0.72698948472897562</v>
      </c>
      <c r="K27" s="36">
        <f>IFERROR(Table5[[#This Row],[D%Z-Score2]]-J26,"-")</f>
        <v>0.64597183801745262</v>
      </c>
      <c r="L27" s="32">
        <f>Table5[[#This Row],[Rep Votes]]/Table5[[#This Row],[Population]]</f>
        <v>0.21188009289300228</v>
      </c>
      <c r="M27" s="35">
        <f>Table5[[#This Row],[Rep Votes]]/Table5[[#This Row],[Population]]</f>
        <v>0.21188009289300228</v>
      </c>
      <c r="N27" s="37">
        <f>(Table5[[#This Row],[R% of Pop2]]-$T$6)/$T$7</f>
        <v>0.72056020172747248</v>
      </c>
      <c r="O27" s="37">
        <f>IFERROR(Table5[[#This Row],[R%Z-Score]]-N26,"-")</f>
        <v>0.81100895387864247</v>
      </c>
    </row>
    <row r="28" spans="1:21" x14ac:dyDescent="0.35">
      <c r="A28" s="15">
        <v>2008</v>
      </c>
      <c r="B28" s="34">
        <v>304090000</v>
      </c>
      <c r="C28" s="34">
        <v>69498516</v>
      </c>
      <c r="D28" s="34">
        <v>59948323</v>
      </c>
      <c r="E28" s="34">
        <f>Table5[[#This Row],[Dem Votes]]+Table5[[#This Row],[Rep Votes]]</f>
        <v>129446839</v>
      </c>
      <c r="F28" s="31">
        <f>Table5[[#This Row],[Total Votes]]/Table5[[#This Row],[Population]]</f>
        <v>0.4256859449505081</v>
      </c>
      <c r="G28" s="35">
        <f>IFERROR((Table5[[#This Row],[T% of Pop]]-F27)/F27,"-")</f>
        <v>2.9537255168098318E-2</v>
      </c>
      <c r="H28" s="39">
        <f>(Table5[[#This Row],[T% of Pop]]-$R$17)/$R$18</f>
        <v>1.2357693037949005</v>
      </c>
      <c r="I28" s="32">
        <f>Table5[[#This Row],[Dem Votes]]/Table5[[#This Row],[Population]]</f>
        <v>0.22854587786510572</v>
      </c>
      <c r="J28" s="36">
        <f>(Table5[[#This Row],[D% of Pop]]-$Q$6)/$Q$7</f>
        <v>1.562246580319282</v>
      </c>
      <c r="K28" s="36">
        <f>IFERROR(Table5[[#This Row],[D%Z-Score2]]-J27,"-")</f>
        <v>0.83525709559030636</v>
      </c>
      <c r="L28" s="32">
        <f>Table5[[#This Row],[Rep Votes]]/Table5[[#This Row],[Population]]</f>
        <v>0.19714006708540235</v>
      </c>
      <c r="M28" s="35">
        <f>Table5[[#This Row],[Rep Votes]]/Table5[[#This Row],[Population]]</f>
        <v>0.19714006708540235</v>
      </c>
      <c r="N28" s="37">
        <f>(Table5[[#This Row],[R% of Pop2]]-$T$6)/$T$7</f>
        <v>0.35896151520998265</v>
      </c>
      <c r="O28" s="37">
        <f>IFERROR(Table5[[#This Row],[R%Z-Score]]-N27,"-")</f>
        <v>-0.36159868651748983</v>
      </c>
      <c r="Q28" s="1">
        <f>AVERAGE(Table5[Column3])</f>
        <v>3.3620906727635326E-2</v>
      </c>
    </row>
    <row r="29" spans="1:21" x14ac:dyDescent="0.35">
      <c r="A29" s="15">
        <v>2012</v>
      </c>
      <c r="B29" s="34">
        <v>313830000</v>
      </c>
      <c r="C29" s="34">
        <v>65915795</v>
      </c>
      <c r="D29" s="34">
        <v>60933504</v>
      </c>
      <c r="E29" s="34">
        <f>Table5[[#This Row],[Dem Votes]]+Table5[[#This Row],[Rep Votes]]</f>
        <v>126849299</v>
      </c>
      <c r="F29" s="31">
        <f>Table5[[#This Row],[Total Votes]]/Table5[[#This Row],[Population]]</f>
        <v>0.40419749227288659</v>
      </c>
      <c r="G29" s="35">
        <f>IFERROR((Table5[[#This Row],[T% of Pop]]-F28)/F28,"-")</f>
        <v>-5.0479591662627804E-2</v>
      </c>
      <c r="H29" s="39">
        <f>(Table5[[#This Row],[T% of Pop]]-$R$17)/$R$18</f>
        <v>0.82751458408999778</v>
      </c>
      <c r="I29" s="32">
        <f>Table5[[#This Row],[Dem Votes]]/Table5[[#This Row],[Population]]</f>
        <v>0.2100366281107606</v>
      </c>
      <c r="J29" s="36">
        <f>(Table5[[#This Row],[D% of Pop]]-$Q$6)/$Q$7</f>
        <v>0.98865374528144334</v>
      </c>
      <c r="K29" s="36">
        <f>IFERROR(Table5[[#This Row],[D%Z-Score2]]-J28,"-")</f>
        <v>-0.57359283503783864</v>
      </c>
      <c r="L29" s="32">
        <f>Table5[[#This Row],[Rep Votes]]/Table5[[#This Row],[Population]]</f>
        <v>0.194160864162126</v>
      </c>
      <c r="M29" s="35">
        <f>Table5[[#This Row],[Rep Votes]]/Table5[[#This Row],[Population]]</f>
        <v>0.194160864162126</v>
      </c>
      <c r="N29" s="37">
        <f>(Table5[[#This Row],[R% of Pop2]]-$T$6)/$T$7</f>
        <v>0.28587644209088697</v>
      </c>
      <c r="O29" s="37">
        <f>IFERROR(Table5[[#This Row],[R%Z-Score]]-N28,"-")</f>
        <v>-7.3085073119095678E-2</v>
      </c>
      <c r="Q29" s="1">
        <f>_xlfn.STDEV.S(Table5[Column3])</f>
        <v>0.13765753248607462</v>
      </c>
      <c r="R29" s="1">
        <f>Q29*2</f>
        <v>0.27531506497214925</v>
      </c>
    </row>
    <row r="30" spans="1:21" x14ac:dyDescent="0.35">
      <c r="A30" s="15">
        <v>2016</v>
      </c>
      <c r="B30" s="34">
        <v>322940000</v>
      </c>
      <c r="C30" s="34">
        <v>65853514</v>
      </c>
      <c r="D30" s="34">
        <v>62984828</v>
      </c>
      <c r="E30" s="34">
        <f>Table5[[#This Row],[Dem Votes]]+Table5[[#This Row],[Rep Votes]]</f>
        <v>128838342</v>
      </c>
      <c r="F30" s="31">
        <f>Table5[[#This Row],[Total Votes]]/Table5[[#This Row],[Population]]</f>
        <v>0.39895442497058275</v>
      </c>
      <c r="G30" s="35">
        <f>IFERROR((Table5[[#This Row],[T% of Pop]]-F29)/F29,"-")</f>
        <v>-1.2971548321146132E-2</v>
      </c>
      <c r="H30" s="39">
        <f>(Table5[[#This Row],[T% of Pop]]-$R$17)/$R$18</f>
        <v>0.72790262021299135</v>
      </c>
      <c r="I30" s="32">
        <f>Table5[[#This Row],[Dem Votes]]/Table5[[#This Row],[Population]]</f>
        <v>0.2039187279370781</v>
      </c>
      <c r="J30" s="36">
        <f>(Table5[[#This Row],[D% of Pop]]-$Q$6)/$Q$7</f>
        <v>0.79906293248919424</v>
      </c>
      <c r="K30" s="36">
        <f>IFERROR(Table5[[#This Row],[D%Z-Score2]]-J29,"-")</f>
        <v>-0.1895908127922491</v>
      </c>
      <c r="L30" s="32">
        <f>Table5[[#This Row],[Rep Votes]]/Table5[[#This Row],[Population]]</f>
        <v>0.19503569703350468</v>
      </c>
      <c r="M30" s="35">
        <f>Table5[[#This Row],[Rep Votes]]/Table5[[#This Row],[Population]]</f>
        <v>0.19503569703350468</v>
      </c>
      <c r="N30" s="37">
        <f>(Table5[[#This Row],[R% of Pop2]]-$T$6)/$T$7</f>
        <v>0.30733762685012617</v>
      </c>
      <c r="O30" s="37">
        <f>IFERROR(Table5[[#This Row],[R%Z-Score]]-N29,"-")</f>
        <v>2.1461184759239194E-2</v>
      </c>
      <c r="Q30" s="1">
        <f>_xlfn.QUARTILE.INC(Table5[Column3],1)</f>
        <v>-5.4065332770550437E-2</v>
      </c>
    </row>
    <row r="31" spans="1:21" x14ac:dyDescent="0.35">
      <c r="A31" s="15">
        <v>2020</v>
      </c>
      <c r="B31" s="34">
        <v>331530000</v>
      </c>
      <c r="C31" s="34">
        <v>81283501</v>
      </c>
      <c r="D31" s="34">
        <v>74223975</v>
      </c>
      <c r="E31" s="34">
        <f>Table5[[#This Row],[Dem Votes]]+Table5[[#This Row],[Rep Votes]]</f>
        <v>155507476</v>
      </c>
      <c r="F31" s="31">
        <f>Table5[[#This Row],[Total Votes]]/Table5[[#This Row],[Population]]</f>
        <v>0.46906004283171959</v>
      </c>
      <c r="G31" s="35">
        <f>IFERROR((Table5[[#This Row],[T% of Pop]]-F30)/F30,"-")</f>
        <v>0.17572337458421758</v>
      </c>
      <c r="H31" s="39">
        <f>(Table5[[#This Row],[T% of Pop]]-$R$17)/$R$18</f>
        <v>2.0598249228106025</v>
      </c>
      <c r="I31" s="32">
        <f>Table5[[#This Row],[Dem Votes]]/Table5[[#This Row],[Population]]</f>
        <v>0.24517691008355202</v>
      </c>
      <c r="J31" s="36">
        <f>(Table5[[#This Row],[D% of Pop]]-$Q$6)/$Q$7</f>
        <v>2.0776343484023632</v>
      </c>
      <c r="K31" s="36">
        <f>IFERROR(Table5[[#This Row],[D%Z-Score2]]-J30,"-")</f>
        <v>1.2785714159131689</v>
      </c>
      <c r="L31" s="32">
        <f>Table5[[#This Row],[Rep Votes]]/Table5[[#This Row],[Population]]</f>
        <v>0.2238831327481676</v>
      </c>
      <c r="M31" s="35">
        <f>Table5[[#This Row],[Rep Votes]]/Table5[[#This Row],[Population]]</f>
        <v>0.2238831327481676</v>
      </c>
      <c r="N31" s="37">
        <f>(Table5[[#This Row],[R% of Pop2]]-$T$6)/$T$7</f>
        <v>1.0150158222601735</v>
      </c>
      <c r="O31" s="37">
        <f>IFERROR(Table5[[#This Row],[R%Z-Score]]-N30,"-")</f>
        <v>0.70767819541004728</v>
      </c>
      <c r="Q31" s="1">
        <f>_xlfn.QUARTILE.INC(Table5[Column3],3)</f>
        <v>0.12958133810352368</v>
      </c>
    </row>
    <row r="32" spans="1:21" x14ac:dyDescent="0.35">
      <c r="A32" s="15">
        <v>2024</v>
      </c>
      <c r="B32" s="34">
        <v>337200000</v>
      </c>
      <c r="C32" s="38">
        <v>71239855</v>
      </c>
      <c r="D32" s="38">
        <v>74834590</v>
      </c>
      <c r="E32" s="38">
        <f>Table5[[#This Row],[Dem Votes]]+Table5[[#This Row],[Rep Votes]]</f>
        <v>146074445</v>
      </c>
      <c r="F32" s="31">
        <f>Table5[[#This Row],[Total Votes]]/Table5[[#This Row],[Population]]</f>
        <v>0.43319823546856467</v>
      </c>
      <c r="G32" s="35">
        <f>IFERROR((Table5[[#This Row],[T% of Pop]]-F31)/F31,"-")</f>
        <v>-7.6454620066669657E-2</v>
      </c>
      <c r="H32" s="39">
        <f>(Table5[[#This Row],[T% of Pop]]-$R$17)/$R$18</f>
        <v>1.3784937756683426</v>
      </c>
      <c r="I32" s="32">
        <f>Table5[[#This Row],[Dem Votes]]/Table5[[#This Row],[Population]]</f>
        <v>0.21126884638196916</v>
      </c>
      <c r="J32" s="36">
        <f>(Table5[[#This Row],[D% of Pop]]-$Q$6)/$Q$7</f>
        <v>1.0268396026742868</v>
      </c>
      <c r="K32" s="36">
        <f>IFERROR(Table5[[#This Row],[D%Z-Score2]]-J31,"-")</f>
        <v>-1.0507947457280764</v>
      </c>
      <c r="L32" s="32">
        <f>Table5[[#This Row],[Rep Votes]]/Table5[[#This Row],[Population]]</f>
        <v>0.22192938908659549</v>
      </c>
      <c r="M32" s="35">
        <f>Table5[[#This Row],[Rep Votes]]/Table5[[#This Row],[Population]]</f>
        <v>0.22192938908659549</v>
      </c>
      <c r="N32" s="37">
        <f>(Table5[[#This Row],[R% of Pop2]]-$T$6)/$T$7</f>
        <v>0.96708706344808981</v>
      </c>
      <c r="O32" s="37">
        <f>IFERROR(Table5[[#This Row],[R%Z-Score]]-N31,"-")</f>
        <v>-4.7928758812083694E-2</v>
      </c>
      <c r="Q32" s="1"/>
    </row>
    <row r="33" spans="16:17" x14ac:dyDescent="0.35">
      <c r="P33" t="s">
        <v>93</v>
      </c>
      <c r="Q33" s="1">
        <f>MIN(Table5[Column3])</f>
        <v>-0.28438068532695393</v>
      </c>
    </row>
    <row r="34" spans="16:17" x14ac:dyDescent="0.35">
      <c r="P34" t="s">
        <v>94</v>
      </c>
      <c r="Q34" s="1">
        <f>MAX(Table5[Column3])</f>
        <v>0.36996936146429749</v>
      </c>
    </row>
    <row r="35" spans="16:17" x14ac:dyDescent="0.35">
      <c r="P35" t="s">
        <v>95</v>
      </c>
      <c r="Q35" s="40">
        <f>Q31-Q30</f>
        <v>0.1836466708740741</v>
      </c>
    </row>
    <row r="36" spans="16:17" x14ac:dyDescent="0.35">
      <c r="P36" t="s">
        <v>96</v>
      </c>
      <c r="Q36" s="40">
        <f>Q31+(1.5*Q35)</f>
        <v>0.40505134441463486</v>
      </c>
    </row>
  </sheetData>
  <mergeCells count="2">
    <mergeCell ref="P5:Q5"/>
    <mergeCell ref="S5:T5"/>
  </mergeCells>
  <phoneticPr fontId="3" type="noConversion"/>
  <conditionalFormatting sqref="H4:H32">
    <cfRule type="cellIs" dxfId="2" priority="3" operator="greaterThan">
      <formula>1</formula>
    </cfRule>
  </conditionalFormatting>
  <conditionalFormatting sqref="J4:J32">
    <cfRule type="cellIs" dxfId="1" priority="2" operator="greaterThan">
      <formula>1</formula>
    </cfRule>
  </conditionalFormatting>
  <conditionalFormatting sqref="N4:N32">
    <cfRule type="cellIs" dxfId="0" priority="1" operator="greaterThan"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2D1D-3013-4B21-8BB2-7DA06FD691B8}">
  <dimension ref="A1:U26"/>
  <sheetViews>
    <sheetView workbookViewId="0">
      <selection activeCell="M5" sqref="M5"/>
    </sheetView>
  </sheetViews>
  <sheetFormatPr defaultRowHeight="14.5" x14ac:dyDescent="0.35"/>
  <cols>
    <col min="2" max="2" width="11.90625" customWidth="1"/>
    <col min="3" max="3" width="11.7265625" customWidth="1"/>
    <col min="4" max="6" width="11.08984375" customWidth="1"/>
    <col min="7" max="7" width="12.1796875" bestFit="1" customWidth="1"/>
    <col min="8" max="8" width="11.1796875" customWidth="1"/>
    <col min="9" max="9" width="12.1796875" bestFit="1" customWidth="1"/>
    <col min="10" max="10" width="12" customWidth="1"/>
    <col min="12" max="12" width="11.08984375" customWidth="1"/>
    <col min="13" max="13" width="13.1796875" bestFit="1" customWidth="1"/>
    <col min="14" max="14" width="12.1796875" bestFit="1" customWidth="1"/>
    <col min="18" max="18" width="10.81640625" bestFit="1" customWidth="1"/>
  </cols>
  <sheetData>
    <row r="1" spans="1:21" x14ac:dyDescent="0.35">
      <c r="A1" s="25" t="s">
        <v>0</v>
      </c>
      <c r="B1" s="26" t="s">
        <v>74</v>
      </c>
      <c r="C1" s="26" t="s">
        <v>75</v>
      </c>
      <c r="D1" s="26" t="s">
        <v>76</v>
      </c>
      <c r="E1" s="26" t="s">
        <v>89</v>
      </c>
      <c r="F1" s="26" t="s">
        <v>90</v>
      </c>
      <c r="G1" s="26" t="s">
        <v>100</v>
      </c>
      <c r="H1" s="26" t="s">
        <v>77</v>
      </c>
      <c r="I1" s="26" t="s">
        <v>101</v>
      </c>
      <c r="J1" s="26" t="s">
        <v>81</v>
      </c>
      <c r="K1" s="26" t="s">
        <v>83</v>
      </c>
      <c r="L1" s="27" t="s">
        <v>78</v>
      </c>
      <c r="M1" s="26" t="s">
        <v>102</v>
      </c>
      <c r="N1" s="26" t="s">
        <v>85</v>
      </c>
      <c r="O1" s="26" t="s">
        <v>86</v>
      </c>
      <c r="Q1" s="46" t="s">
        <v>79</v>
      </c>
      <c r="R1" s="46"/>
      <c r="T1" s="47" t="s">
        <v>84</v>
      </c>
      <c r="U1" s="47"/>
    </row>
    <row r="2" spans="1:21" x14ac:dyDescent="0.35">
      <c r="A2">
        <v>1972</v>
      </c>
      <c r="B2" s="21">
        <v>209900000</v>
      </c>
      <c r="C2" s="21">
        <v>29173222</v>
      </c>
      <c r="D2" s="21">
        <v>47168710</v>
      </c>
      <c r="E2" s="21">
        <f>Table6[[#This Row],[Rep Votes]]+Table6[[#This Row],[Dem Votes]]</f>
        <v>76341932</v>
      </c>
      <c r="F2" s="1">
        <f>Table6[[#This Row],[Total Votes]]/Table6[[#This Row],[Population]]</f>
        <v>0.36370620295378753</v>
      </c>
      <c r="G2" s="1">
        <f>1-_xlfn.NORM.DIST(Table6[[#This Row],[T% of Pop]],$R$25,$R$26,TRUE)</f>
        <v>0.69742760972443929</v>
      </c>
      <c r="H2" s="5">
        <v>0.138986288708909</v>
      </c>
      <c r="I2" s="5">
        <f>1-_xlfn.NORM.DIST(Table6[[#This Row],[D% of Pop]],$R$13,$R$14,TRUE)</f>
        <v>0.95543488083114458</v>
      </c>
      <c r="J2" s="19">
        <f>(Table6[[#This Row],[D% of Pop]]-$R$13)/$R$14</f>
        <v>-1.7000036533133995</v>
      </c>
      <c r="K2" s="19" t="str">
        <f>IFERROR((Table6[[#This Row],[D%Z-Score]]-J1),"-")</f>
        <v>-</v>
      </c>
      <c r="L2" s="5">
        <v>0.22471991424487853</v>
      </c>
      <c r="M2" s="5">
        <f>1-_xlfn.NORM.DIST(Table6[[#This Row],[R% of Pop]],$U$13,$U$14,TRUE)</f>
        <v>0.12953982222191485</v>
      </c>
      <c r="N2" s="19">
        <f>(Table6[[#This Row],[R% of Pop]]-$U$13)/$U$14</f>
        <v>1.1285691176681554</v>
      </c>
      <c r="O2" t="str">
        <f>IFERROR(Table6[[#This Row],[R%Z-Score]]-N1,"-")</f>
        <v>-</v>
      </c>
      <c r="Q2" t="s">
        <v>65</v>
      </c>
      <c r="R2" s="21">
        <f>AVERAGE(Table6[Dem Votes])</f>
        <v>52928831.571428575</v>
      </c>
      <c r="T2" t="s">
        <v>65</v>
      </c>
      <c r="U2" s="21">
        <f>AVERAGE(Table6[Rep Votes])</f>
        <v>54091892.428571425</v>
      </c>
    </row>
    <row r="3" spans="1:21" x14ac:dyDescent="0.35">
      <c r="A3">
        <v>1976</v>
      </c>
      <c r="B3" s="21">
        <v>218040000</v>
      </c>
      <c r="C3" s="21">
        <v>40831881</v>
      </c>
      <c r="D3" s="21">
        <v>39148634</v>
      </c>
      <c r="E3" s="21">
        <f>Table6[[#This Row],[Rep Votes]]+Table6[[#This Row],[Dem Votes]]</f>
        <v>79980515</v>
      </c>
      <c r="F3" s="1">
        <f>Table6[[#This Row],[Total Votes]]/Table6[[#This Row],[Population]]</f>
        <v>0.36681579068060904</v>
      </c>
      <c r="G3" s="1">
        <f>1-_xlfn.NORM.DIST(Table6[[#This Row],[T% of Pop]],$R$25,$R$26,TRUE)</f>
        <v>0.67096258825855792</v>
      </c>
      <c r="H3" s="5">
        <v>0.18726784534947716</v>
      </c>
      <c r="I3" s="5">
        <f>1-_xlfn.NORM.DIST(Table6[[#This Row],[D% of Pop]],$R$13,$R$14,TRUE)</f>
        <v>0.51317318828977831</v>
      </c>
      <c r="J3" s="19">
        <f>(Table6[[#This Row],[D% of Pop]]-$R$13)/$R$14</f>
        <v>-3.302628907784512E-2</v>
      </c>
      <c r="K3" s="22">
        <f>IFERROR((Table6[[#This Row],[D%Z-Score]]-J2),"-")</f>
        <v>1.6669773642355543</v>
      </c>
      <c r="L3" s="5">
        <v>0.17954794533113191</v>
      </c>
      <c r="M3" s="5">
        <f>1-_xlfn.NORM.DIST(Table6[[#This Row],[R% of Pop]],$U$13,$U$14,TRUE)</f>
        <v>0.73879794023941625</v>
      </c>
      <c r="N3" s="19">
        <f>(Table6[[#This Row],[R% of Pop]]-$U$13)/$U$14</f>
        <v>-0.63964392397009828</v>
      </c>
      <c r="O3" s="28">
        <f>IFERROR(Table6[[#This Row],[R%Z-Score]]-N2,"-")</f>
        <v>-1.7682130416382535</v>
      </c>
      <c r="Q3" t="s">
        <v>80</v>
      </c>
      <c r="R3" s="21">
        <f>_xlfn.STDEV.S(Table6[Dem Votes])</f>
        <v>15835025.242346557</v>
      </c>
      <c r="T3" t="s">
        <v>80</v>
      </c>
      <c r="U3" s="21">
        <f>_xlfn.STDEV.S(Table6[Rep Votes])</f>
        <v>12155668.620288169</v>
      </c>
    </row>
    <row r="4" spans="1:21" x14ac:dyDescent="0.35">
      <c r="A4">
        <v>1980</v>
      </c>
      <c r="B4" s="21">
        <v>227220000</v>
      </c>
      <c r="C4" s="21">
        <v>35481115</v>
      </c>
      <c r="D4" s="21">
        <v>43903230</v>
      </c>
      <c r="E4" s="21">
        <f>Table6[[#This Row],[Rep Votes]]+Table6[[#This Row],[Dem Votes]]</f>
        <v>79384345</v>
      </c>
      <c r="F4" s="1">
        <f>Table6[[#This Row],[Total Votes]]/Table6[[#This Row],[Population]]</f>
        <v>0.34937217234398382</v>
      </c>
      <c r="G4" s="1">
        <f>1-_xlfn.NORM.DIST(Table6[[#This Row],[T% of Pop]],$R$25,$R$26,TRUE)</f>
        <v>0.80515322352952756</v>
      </c>
      <c r="H4" s="5">
        <v>0.15615313352697827</v>
      </c>
      <c r="I4" s="5">
        <f>1-_xlfn.NORM.DIST(Table6[[#This Row],[D% of Pop]],$R$13,$R$14,TRUE)</f>
        <v>0.8659174896793258</v>
      </c>
      <c r="J4" s="19">
        <f>(Table6[[#This Row],[D% of Pop]]-$R$13)/$R$14</f>
        <v>-1.1072982038991832</v>
      </c>
      <c r="K4" s="22">
        <f>IFERROR((Table6[[#This Row],[D%Z-Score]]-J3),"-")</f>
        <v>-1.074271914821338</v>
      </c>
      <c r="L4" s="5">
        <v>0.19321903881700556</v>
      </c>
      <c r="M4" s="5">
        <f>1-_xlfn.NORM.DIST(Table6[[#This Row],[R% of Pop]],$U$13,$U$14,TRUE)</f>
        <v>0.54161458457658262</v>
      </c>
      <c r="N4" s="19">
        <f>(Table6[[#This Row],[R% of Pop]]-$U$13)/$U$14</f>
        <v>-0.1045021894724204</v>
      </c>
      <c r="O4" s="28">
        <f>IFERROR(Table6[[#This Row],[R%Z-Score]]-N3,"-")</f>
        <v>0.53514173449767788</v>
      </c>
      <c r="Q4" t="s">
        <v>58</v>
      </c>
      <c r="R4" s="21">
        <f>_xlfn.QUARTILE.INC(Table6[Dem Votes],1)</f>
        <v>41076279.75</v>
      </c>
      <c r="T4" t="s">
        <v>58</v>
      </c>
      <c r="U4" s="21">
        <f>_xlfn.QUARTILE.INC(Table6[Rep Votes],1)</f>
        <v>44719600</v>
      </c>
    </row>
    <row r="5" spans="1:21" x14ac:dyDescent="0.35">
      <c r="A5">
        <v>1984</v>
      </c>
      <c r="B5" s="21">
        <v>235820000</v>
      </c>
      <c r="C5" s="21">
        <v>37577352</v>
      </c>
      <c r="D5" s="21">
        <v>54455472</v>
      </c>
      <c r="E5" s="21">
        <f>Table6[[#This Row],[Rep Votes]]+Table6[[#This Row],[Dem Votes]]</f>
        <v>92032824</v>
      </c>
      <c r="F5" s="1">
        <f>Table6[[#This Row],[Total Votes]]/Table6[[#This Row],[Population]]</f>
        <v>0.39026725468577728</v>
      </c>
      <c r="G5" s="1">
        <f>1-_xlfn.NORM.DIST(Table6[[#This Row],[T% of Pop]],$R$25,$R$26,TRUE)</f>
        <v>0.45269482413718243</v>
      </c>
      <c r="H5" s="5">
        <v>0.15934760410482571</v>
      </c>
      <c r="I5" s="5">
        <f>1-_xlfn.NORM.DIST(Table6[[#This Row],[D% of Pop]],$R$13,$R$14,TRUE)</f>
        <v>0.84061904610896354</v>
      </c>
      <c r="J5" s="19">
        <f>(Table6[[#This Row],[D% of Pop]]-$R$13)/$R$14</f>
        <v>-0.99700536094817982</v>
      </c>
      <c r="K5" s="22">
        <f>IFERROR((Table6[[#This Row],[D%Z-Score]]-J4),"-")</f>
        <v>0.11029284295100339</v>
      </c>
      <c r="L5" s="5">
        <v>0.23091965058095157</v>
      </c>
      <c r="M5" s="5">
        <f>1-_xlfn.NORM.DIST(Table6[[#This Row],[R% of Pop]],$U$13,$U$14,TRUE)</f>
        <v>8.5148237536071814E-2</v>
      </c>
      <c r="N5" s="19">
        <f>(Table6[[#This Row],[R% of Pop]]-$U$13)/$U$14</f>
        <v>1.3712518013717399</v>
      </c>
      <c r="O5" s="28">
        <f>IFERROR(Table6[[#This Row],[R%Z-Score]]-N4,"-")</f>
        <v>1.4757539908441601</v>
      </c>
      <c r="Q5" t="s">
        <v>60</v>
      </c>
      <c r="R5" s="21">
        <f>_xlfn.QUARTILE.INC(Table6[Dem Votes],3)</f>
        <v>65900224.75</v>
      </c>
      <c r="T5" t="s">
        <v>60</v>
      </c>
      <c r="U5" s="21">
        <f>_xlfn.QUARTILE.INC(Table6[Rep Votes],3)</f>
        <v>61763833.5</v>
      </c>
    </row>
    <row r="6" spans="1:21" x14ac:dyDescent="0.35">
      <c r="A6">
        <v>1988</v>
      </c>
      <c r="B6" s="21">
        <v>244500000</v>
      </c>
      <c r="C6" s="21">
        <v>41809476</v>
      </c>
      <c r="D6" s="21">
        <v>48886597</v>
      </c>
      <c r="E6" s="21">
        <f>Table6[[#This Row],[Rep Votes]]+Table6[[#This Row],[Dem Votes]]</f>
        <v>90696073</v>
      </c>
      <c r="F6" s="1">
        <f>Table6[[#This Row],[Total Votes]]/Table6[[#This Row],[Population]]</f>
        <v>0.3709450838445808</v>
      </c>
      <c r="G6" s="1">
        <f>1-_xlfn.NORM.DIST(Table6[[#This Row],[T% of Pop]],$R$25,$R$26,TRUE)</f>
        <v>0.63447057496956571</v>
      </c>
      <c r="H6" s="5">
        <v>0.1709999018404908</v>
      </c>
      <c r="I6" s="5">
        <f>1-_xlfn.NORM.DIST(Table6[[#This Row],[D% of Pop]],$R$13,$R$14,TRUE)</f>
        <v>0.7239766909398262</v>
      </c>
      <c r="J6" s="19">
        <f>(Table6[[#This Row],[D% of Pop]]-$R$13)/$R$14</f>
        <v>-0.59469611662762778</v>
      </c>
      <c r="K6" s="22">
        <f>IFERROR((Table6[[#This Row],[D%Z-Score]]-J5),"-")</f>
        <v>0.40230924432055204</v>
      </c>
      <c r="L6" s="5">
        <v>0.19994518200408998</v>
      </c>
      <c r="M6" s="5">
        <f>1-_xlfn.NORM.DIST(Table6[[#This Row],[R% of Pop]],$U$13,$U$14,TRUE)</f>
        <v>0.43691866817137337</v>
      </c>
      <c r="N6" s="19">
        <f>(Table6[[#This Row],[R% of Pop]]-$U$13)/$U$14</f>
        <v>0.15878618137629058</v>
      </c>
      <c r="O6" s="28">
        <f>IFERROR(Table6[[#This Row],[R%Z-Score]]-N5,"-")</f>
        <v>-1.2124656199954493</v>
      </c>
      <c r="Q6" t="s">
        <v>67</v>
      </c>
      <c r="R6" s="21">
        <f>R5-R4</f>
        <v>24823945</v>
      </c>
      <c r="T6" t="s">
        <v>67</v>
      </c>
      <c r="U6" s="21">
        <f>U5-U4</f>
        <v>17044233.5</v>
      </c>
    </row>
    <row r="7" spans="1:21" x14ac:dyDescent="0.35">
      <c r="A7">
        <v>1992</v>
      </c>
      <c r="B7" s="21">
        <v>256510000</v>
      </c>
      <c r="C7" s="21">
        <v>44909889</v>
      </c>
      <c r="D7" s="21">
        <v>39104550</v>
      </c>
      <c r="E7" s="21">
        <f>Table6[[#This Row],[Rep Votes]]+Table6[[#This Row],[Dem Votes]]</f>
        <v>84014439</v>
      </c>
      <c r="F7" s="1">
        <f>Table6[[#This Row],[Total Votes]]/Table6[[#This Row],[Population]]</f>
        <v>0.32752890335659429</v>
      </c>
      <c r="G7" s="1">
        <f>1-_xlfn.NORM.DIST(Table6[[#This Row],[T% of Pop]],$R$25,$R$26,TRUE)</f>
        <v>0.91668312384822348</v>
      </c>
      <c r="H7" s="5">
        <v>0.17508046080074852</v>
      </c>
      <c r="I7" s="5">
        <f>1-_xlfn.NORM.DIST(Table6[[#This Row],[D% of Pop]],$R$13,$R$14,TRUE)</f>
        <v>0.67501721919185154</v>
      </c>
      <c r="J7" s="19">
        <f>(Table6[[#This Row],[D% of Pop]]-$R$13)/$R$14</f>
        <v>-0.45381003313166401</v>
      </c>
      <c r="K7" s="22">
        <f>IFERROR((Table6[[#This Row],[D%Z-Score]]-J6),"-")</f>
        <v>0.14088608349596377</v>
      </c>
      <c r="L7" s="5">
        <v>0.15244844255584578</v>
      </c>
      <c r="M7" s="5">
        <f>1-_xlfn.NORM.DIST(Table6[[#This Row],[R% of Pop]],$U$13,$U$14,TRUE)</f>
        <v>0.95547475255812642</v>
      </c>
      <c r="N7" s="19">
        <f>(Table6[[#This Row],[R% of Pop]]-$U$13)/$U$14</f>
        <v>-1.7004277547716558</v>
      </c>
      <c r="O7" s="28">
        <f>IFERROR(Table6[[#This Row],[R%Z-Score]]-N6,"-")</f>
        <v>-1.8592139361479463</v>
      </c>
      <c r="Q7" t="s">
        <v>69</v>
      </c>
      <c r="R7" s="21">
        <f>R5+(1.5*R6)</f>
        <v>103136142.25</v>
      </c>
      <c r="T7" t="s">
        <v>69</v>
      </c>
      <c r="U7" s="21">
        <f>U5+(1.5*U6)</f>
        <v>87330183.75</v>
      </c>
    </row>
    <row r="8" spans="1:21" x14ac:dyDescent="0.35">
      <c r="A8">
        <v>1996</v>
      </c>
      <c r="B8" s="21">
        <v>269390000</v>
      </c>
      <c r="C8" s="21">
        <v>47401185</v>
      </c>
      <c r="D8" s="21">
        <v>39197469</v>
      </c>
      <c r="E8" s="21">
        <f>Table6[[#This Row],[Rep Votes]]+Table6[[#This Row],[Dem Votes]]</f>
        <v>86598654</v>
      </c>
      <c r="F8" s="1">
        <f>Table6[[#This Row],[Total Votes]]/Table6[[#This Row],[Population]]</f>
        <v>0.32146202160436543</v>
      </c>
      <c r="G8" s="1">
        <f>1-_xlfn.NORM.DIST(Table6[[#This Row],[T% of Pop]],$R$25,$R$26,TRUE)</f>
        <v>0.93678626740382898</v>
      </c>
      <c r="H8" s="5">
        <v>0.17595747800586511</v>
      </c>
      <c r="I8" s="5">
        <f>1-_xlfn.NORM.DIST(Table6[[#This Row],[D% of Pop]],$R$13,$R$14,TRUE)</f>
        <v>0.66404568712376411</v>
      </c>
      <c r="J8" s="19">
        <f>(Table6[[#This Row],[D% of Pop]]-$R$13)/$R$14</f>
        <v>-0.42352998562080779</v>
      </c>
      <c r="K8" s="22">
        <f>IFERROR((Table6[[#This Row],[D%Z-Score]]-J7),"-")</f>
        <v>3.0280047510856223E-2</v>
      </c>
      <c r="L8" s="5">
        <v>0.14550454359850032</v>
      </c>
      <c r="M8" s="5">
        <f>1-_xlfn.NORM.DIST(Table6[[#This Row],[R% of Pop]],$U$13,$U$14,TRUE)</f>
        <v>0.97570889028626384</v>
      </c>
      <c r="N8" s="19">
        <f>(Table6[[#This Row],[R% of Pop]]-$U$13)/$U$14</f>
        <v>-1.9722399646764583</v>
      </c>
      <c r="O8" s="28">
        <f>IFERROR(Table6[[#This Row],[R%Z-Score]]-N7,"-")</f>
        <v>-0.27181220990480259</v>
      </c>
      <c r="Q8" t="s">
        <v>56</v>
      </c>
      <c r="R8" s="21">
        <f>MIN(Table6[Dem Votes])</f>
        <v>29173222</v>
      </c>
      <c r="T8" t="s">
        <v>56</v>
      </c>
      <c r="U8" s="21">
        <f>MIN(Table6[Rep Votes])</f>
        <v>39104550</v>
      </c>
    </row>
    <row r="9" spans="1:21" x14ac:dyDescent="0.35">
      <c r="A9">
        <v>2000</v>
      </c>
      <c r="B9" s="21">
        <v>282160000</v>
      </c>
      <c r="C9" s="21">
        <v>50999897</v>
      </c>
      <c r="D9" s="21">
        <v>50456002</v>
      </c>
      <c r="E9" s="21">
        <f>Table6[[#This Row],[Rep Votes]]+Table6[[#This Row],[Dem Votes]]</f>
        <v>101455899</v>
      </c>
      <c r="F9" s="1">
        <f>Table6[[#This Row],[Total Votes]]/Table6[[#This Row],[Population]]</f>
        <v>0.35956868089027499</v>
      </c>
      <c r="G9" s="1">
        <f>1-_xlfn.NORM.DIST(Table6[[#This Row],[T% of Pop]],$R$25,$R$26,TRUE)</f>
        <v>0.73107539389470833</v>
      </c>
      <c r="H9" s="5">
        <v>0.18074814644173517</v>
      </c>
      <c r="I9" s="5">
        <f>1-_xlfn.NORM.DIST(Table6[[#This Row],[D% of Pop]],$R$13,$R$14,TRUE)</f>
        <v>0.60184537514042757</v>
      </c>
      <c r="J9" s="19">
        <f>(Table6[[#This Row],[D% of Pop]]-$R$13)/$R$14</f>
        <v>-0.25812653971278948</v>
      </c>
      <c r="K9" s="22">
        <f>IFERROR((Table6[[#This Row],[D%Z-Score]]-J8),"-")</f>
        <v>0.16540344590801831</v>
      </c>
      <c r="L9" s="5">
        <v>0.17882053444853985</v>
      </c>
      <c r="M9" s="5">
        <f>1-_xlfn.NORM.DIST(Table6[[#This Row],[R% of Pop]],$U$13,$U$14,TRUE)</f>
        <v>0.74797077411032564</v>
      </c>
      <c r="N9" s="19">
        <f>(Table6[[#This Row],[R% of Pop]]-$U$13)/$U$14</f>
        <v>-0.66811771955967836</v>
      </c>
      <c r="O9" s="28">
        <f>IFERROR(Table6[[#This Row],[R%Z-Score]]-N8,"-")</f>
        <v>1.30412224511678</v>
      </c>
      <c r="Q9" t="s">
        <v>57</v>
      </c>
      <c r="R9" s="21">
        <f>MAX(Table6[Dem Votes])</f>
        <v>81283501</v>
      </c>
      <c r="T9" t="s">
        <v>57</v>
      </c>
      <c r="U9" s="21">
        <f>MAX(Table6[Rep Votes])</f>
        <v>74834590</v>
      </c>
    </row>
    <row r="10" spans="1:21" x14ac:dyDescent="0.35">
      <c r="A10">
        <v>2004</v>
      </c>
      <c r="B10" s="21">
        <v>292810000</v>
      </c>
      <c r="C10" s="21">
        <v>59028444</v>
      </c>
      <c r="D10" s="21">
        <v>62040610</v>
      </c>
      <c r="E10" s="21">
        <f>Table6[[#This Row],[Rep Votes]]+Table6[[#This Row],[Dem Votes]]</f>
        <v>121069054</v>
      </c>
      <c r="F10" s="1">
        <f>Table6[[#This Row],[Total Votes]]/Table6[[#This Row],[Population]]</f>
        <v>0.41347308493562379</v>
      </c>
      <c r="G10" s="1">
        <f>1-_xlfn.NORM.DIST(Table6[[#This Row],[T% of Pop]],$R$25,$R$26,TRUE)</f>
        <v>0.25002734004294758</v>
      </c>
      <c r="H10" s="5">
        <v>0.20159299204262149</v>
      </c>
      <c r="I10" s="5">
        <f>1-_xlfn.NORM.DIST(Table6[[#This Row],[D% of Pop]],$R$13,$R$14,TRUE)</f>
        <v>0.32219621892795258</v>
      </c>
      <c r="J10" s="19">
        <f>(Table6[[#This Row],[D% of Pop]]-$R$13)/$R$14</f>
        <v>0.46156620002928317</v>
      </c>
      <c r="K10" s="22">
        <f>IFERROR((Table6[[#This Row],[D%Z-Score]]-J9),"-")</f>
        <v>0.71969273974207271</v>
      </c>
      <c r="L10" s="5">
        <v>0.21188009289300228</v>
      </c>
      <c r="M10" s="5">
        <f>1-_xlfn.NORM.DIST(Table6[[#This Row],[R% of Pop]],$U$13,$U$14,TRUE)</f>
        <v>0.26566838284572381</v>
      </c>
      <c r="N10" s="19">
        <f>(Table6[[#This Row],[R% of Pop]]-$U$13)/$U$14</f>
        <v>0.62596672701203726</v>
      </c>
      <c r="O10" s="28">
        <f>IFERROR(Table6[[#This Row],[R%Z-Score]]-N9,"-")</f>
        <v>1.2940844465717156</v>
      </c>
    </row>
    <row r="11" spans="1:21" x14ac:dyDescent="0.35">
      <c r="A11">
        <v>2008</v>
      </c>
      <c r="B11" s="21">
        <v>304090000</v>
      </c>
      <c r="C11" s="21">
        <v>69498516</v>
      </c>
      <c r="D11" s="21">
        <v>59948323</v>
      </c>
      <c r="E11" s="21">
        <f>Table6[[#This Row],[Rep Votes]]+Table6[[#This Row],[Dem Votes]]</f>
        <v>129446839</v>
      </c>
      <c r="F11" s="1">
        <f>Table6[[#This Row],[Total Votes]]/Table6[[#This Row],[Population]]</f>
        <v>0.4256859449505081</v>
      </c>
      <c r="G11" s="1">
        <f>1-_xlfn.NORM.DIST(Table6[[#This Row],[T% of Pop]],$R$25,$R$26,TRUE)</f>
        <v>0.16682706289800231</v>
      </c>
      <c r="H11" s="5">
        <v>0.22854587786510572</v>
      </c>
      <c r="I11" s="5">
        <f>1-_xlfn.NORM.DIST(Table6[[#This Row],[D% of Pop]],$R$13,$R$14,TRUE)</f>
        <v>8.1939066521313553E-2</v>
      </c>
      <c r="J11" s="19">
        <f>(Table6[[#This Row],[D% of Pop]]-$R$13)/$R$14</f>
        <v>1.3921461915027704</v>
      </c>
      <c r="K11" s="22">
        <f>IFERROR((Table6[[#This Row],[D%Z-Score]]-J10),"-")</f>
        <v>0.93057999147348724</v>
      </c>
      <c r="L11" s="5">
        <v>0.19714006708540235</v>
      </c>
      <c r="M11" s="5">
        <f>1-_xlfn.NORM.DIST(Table6[[#This Row],[R% of Pop]],$U$13,$U$14,TRUE)</f>
        <v>0.48046655317199172</v>
      </c>
      <c r="N11" s="19">
        <f>(Table6[[#This Row],[R% of Pop]]-$U$13)/$U$14</f>
        <v>4.8982670442587209E-2</v>
      </c>
      <c r="O11" s="28">
        <f>IFERROR(Table6[[#This Row],[R%Z-Score]]-N10,"-")</f>
        <v>-0.57698405656945007</v>
      </c>
    </row>
    <row r="12" spans="1:21" x14ac:dyDescent="0.35">
      <c r="A12">
        <v>2012</v>
      </c>
      <c r="B12" s="21">
        <v>313830000</v>
      </c>
      <c r="C12" s="21">
        <v>65915795</v>
      </c>
      <c r="D12" s="21">
        <v>60933504</v>
      </c>
      <c r="E12" s="21">
        <f>Table6[[#This Row],[Rep Votes]]+Table6[[#This Row],[Dem Votes]]</f>
        <v>126849299</v>
      </c>
      <c r="F12" s="1">
        <f>Table6[[#This Row],[Total Votes]]/Table6[[#This Row],[Population]]</f>
        <v>0.40419749227288659</v>
      </c>
      <c r="G12" s="1">
        <f>1-_xlfn.NORM.DIST(Table6[[#This Row],[T% of Pop]],$R$25,$R$26,TRUE)</f>
        <v>0.32550991857185341</v>
      </c>
      <c r="H12" s="5">
        <v>0.2100366281107606</v>
      </c>
      <c r="I12" s="5">
        <f>1-_xlfn.NORM.DIST(Table6[[#This Row],[D% of Pop]],$R$13,$R$14,TRUE)</f>
        <v>0.22569712421870203</v>
      </c>
      <c r="J12" s="19">
        <f>(Table6[[#This Row],[D% of Pop]]-$R$13)/$R$14</f>
        <v>0.75309263738536669</v>
      </c>
      <c r="K12" s="22">
        <f>IFERROR((Table6[[#This Row],[D%Z-Score]]-J11),"-")</f>
        <v>-0.63905355411740372</v>
      </c>
      <c r="L12" s="5">
        <v>0.194160864162126</v>
      </c>
      <c r="M12" s="5">
        <f>1-_xlfn.NORM.DIST(Table6[[#This Row],[R% of Pop]],$U$13,$U$14,TRUE)</f>
        <v>0.52696204154680837</v>
      </c>
      <c r="N12" s="19">
        <f>(Table6[[#This Row],[R% of Pop]]-$U$13)/$U$14</f>
        <v>-6.7635347086884789E-2</v>
      </c>
      <c r="O12" s="28">
        <f>IFERROR(Table6[[#This Row],[R%Z-Score]]-N11,"-")</f>
        <v>-0.116618017529472</v>
      </c>
      <c r="Q12" s="46" t="s">
        <v>79</v>
      </c>
      <c r="R12" s="46"/>
      <c r="T12" s="47" t="s">
        <v>84</v>
      </c>
      <c r="U12" s="47"/>
    </row>
    <row r="13" spans="1:21" x14ac:dyDescent="0.35">
      <c r="A13">
        <v>2016</v>
      </c>
      <c r="B13" s="21">
        <v>322940000</v>
      </c>
      <c r="C13" s="21">
        <v>65853514</v>
      </c>
      <c r="D13" s="21">
        <v>62984828</v>
      </c>
      <c r="E13" s="21">
        <f>Table6[[#This Row],[Rep Votes]]+Table6[[#This Row],[Dem Votes]]</f>
        <v>128838342</v>
      </c>
      <c r="F13" s="1">
        <f>Table6[[#This Row],[Total Votes]]/Table6[[#This Row],[Population]]</f>
        <v>0.39895442497058275</v>
      </c>
      <c r="G13" s="1">
        <f>1-_xlfn.NORM.DIST(Table6[[#This Row],[T% of Pop]],$R$25,$R$26,TRUE)</f>
        <v>0.3718994644261836</v>
      </c>
      <c r="H13" s="5">
        <v>0.2039187279370781</v>
      </c>
      <c r="I13" s="5">
        <f>1-_xlfn.NORM.DIST(Table6[[#This Row],[D% of Pop]],$R$13,$R$14,TRUE)</f>
        <v>0.29395576877141871</v>
      </c>
      <c r="J13" s="19">
        <f>(Table6[[#This Row],[D% of Pop]]-$R$13)/$R$14</f>
        <v>0.54186495924517253</v>
      </c>
      <c r="K13" s="22">
        <f>IFERROR((Table6[[#This Row],[D%Z-Score]]-J12),"-")</f>
        <v>-0.21122767814019416</v>
      </c>
      <c r="L13" s="5">
        <v>0.19503569703350468</v>
      </c>
      <c r="M13" s="5">
        <f>1-_xlfn.NORM.DIST(Table6[[#This Row],[R% of Pop]],$U$13,$U$14,TRUE)</f>
        <v>0.51331855098950663</v>
      </c>
      <c r="N13" s="19">
        <f>(Table6[[#This Row],[R% of Pop]]-$U$13)/$U$14</f>
        <v>-3.3390860303956819E-2</v>
      </c>
      <c r="O13" s="28">
        <f>IFERROR(Table6[[#This Row],[R%Z-Score]]-N12,"-")</f>
        <v>3.424448678292797E-2</v>
      </c>
      <c r="Q13" t="s">
        <v>65</v>
      </c>
      <c r="R13" s="5">
        <f>AVERAGE(Table6[D% of Pop])</f>
        <v>0.1882244034173613</v>
      </c>
      <c r="T13" t="s">
        <v>65</v>
      </c>
      <c r="U13" s="5">
        <f>AVERAGE(Table6[R% of Pop])</f>
        <v>0.1958887225842359</v>
      </c>
    </row>
    <row r="14" spans="1:21" x14ac:dyDescent="0.35">
      <c r="A14">
        <v>2020</v>
      </c>
      <c r="B14" s="21">
        <v>331530000</v>
      </c>
      <c r="C14" s="21">
        <v>81283501</v>
      </c>
      <c r="D14" s="21">
        <v>74223975</v>
      </c>
      <c r="E14" s="21">
        <f>Table6[[#This Row],[Rep Votes]]+Table6[[#This Row],[Dem Votes]]</f>
        <v>155507476</v>
      </c>
      <c r="F14" s="1">
        <f>Table6[[#This Row],[Total Votes]]/Table6[[#This Row],[Population]]</f>
        <v>0.46906004283171959</v>
      </c>
      <c r="G14" s="1">
        <f>1-_xlfn.NORM.DIST(Table6[[#This Row],[T% of Pop]],$R$25,$R$26,TRUE)</f>
        <v>2.2473161964716826E-2</v>
      </c>
      <c r="H14" s="5">
        <v>0.24517691008355202</v>
      </c>
      <c r="I14" s="5">
        <f>1-_xlfn.NORM.DIST(Table6[[#This Row],[D% of Pop]],$R$13,$R$14,TRUE)</f>
        <v>2.4628977228496107E-2</v>
      </c>
      <c r="J14" s="19">
        <f>(Table6[[#This Row],[D% of Pop]]-$R$13)/$R$14</f>
        <v>1.9663520825516048</v>
      </c>
      <c r="K14" s="22">
        <f>IFERROR((Table6[[#This Row],[D%Z-Score]]-J13),"-")</f>
        <v>1.4244871233064322</v>
      </c>
      <c r="L14" s="5">
        <v>0.2238831327481676</v>
      </c>
      <c r="M14" s="5">
        <f>1-_xlfn.NORM.DIST(Table6[[#This Row],[R% of Pop]],$U$13,$U$14,TRUE)</f>
        <v>0.13658006504645548</v>
      </c>
      <c r="N14" s="19">
        <f>(Table6[[#This Row],[R% of Pop]]-$U$13)/$U$14</f>
        <v>1.0958141151507519</v>
      </c>
      <c r="O14" s="28">
        <f>IFERROR(Table6[[#This Row],[R%Z-Score]]-N13,"-")</f>
        <v>1.1292049754547087</v>
      </c>
      <c r="Q14" t="s">
        <v>80</v>
      </c>
      <c r="R14" s="5">
        <f>_xlfn.STDEV.S(Table6[D% of Pop])</f>
        <v>2.8963534644460637E-2</v>
      </c>
      <c r="T14" t="s">
        <v>80</v>
      </c>
      <c r="U14" s="5">
        <f>_xlfn.STDEV.S(Table6[R% of Pop])</f>
        <v>2.5546677832380803E-2</v>
      </c>
    </row>
    <row r="15" spans="1:21" x14ac:dyDescent="0.35">
      <c r="A15">
        <v>2024</v>
      </c>
      <c r="B15" s="21">
        <v>337200000</v>
      </c>
      <c r="C15" s="20">
        <v>71239855</v>
      </c>
      <c r="D15" s="20">
        <v>74834590</v>
      </c>
      <c r="E15" s="20">
        <f>Table6[[#This Row],[Rep Votes]]+Table6[[#This Row],[Dem Votes]]</f>
        <v>146074445</v>
      </c>
      <c r="F15" s="1">
        <f>Table6[[#This Row],[Total Votes]]/Table6[[#This Row],[Population]]</f>
        <v>0.43319823546856467</v>
      </c>
      <c r="G15" s="1">
        <f>1-_xlfn.NORM.DIST(Table6[[#This Row],[T% of Pop]],$R$25,$R$26,TRUE)</f>
        <v>0.12576849284910752</v>
      </c>
      <c r="H15" s="5">
        <v>0.20132965302491104</v>
      </c>
      <c r="I15" s="5">
        <f>1-_xlfn.NORM.DIST(Table6[[#This Row],[D% of Pop]],$R$13,$R$14,TRUE)</f>
        <v>0.32546373361202297</v>
      </c>
      <c r="J15" s="19">
        <f>(Table6[[#This Row],[D% of Pop]]-$R$13)/$R$14</f>
        <v>0.45247411161731826</v>
      </c>
      <c r="K15" s="22">
        <f>IFERROR((Table6[[#This Row],[D%Z-Score]]-J14),"-")</f>
        <v>-1.5138779709342864</v>
      </c>
      <c r="L15" s="5">
        <v>0.21521701067615659</v>
      </c>
      <c r="M15" s="5">
        <f>1-_xlfn.NORM.DIST(Table6[[#This Row],[R% of Pop]],$U$13,$U$14,TRUE)</f>
        <v>0.22464862207048009</v>
      </c>
      <c r="N15" s="19">
        <f>(Table6[[#This Row],[R% of Pop]]-$U$13)/$U$14</f>
        <v>0.75658714681960693</v>
      </c>
      <c r="O15" s="28">
        <f>IFERROR(Table6[[#This Row],[R%Z-Score]]-N14,"-")</f>
        <v>-0.33922696833114496</v>
      </c>
      <c r="Q15" t="s">
        <v>58</v>
      </c>
      <c r="R15" s="5">
        <f>_xlfn.QUARTILE.INC(Table6[D% of Pop],1)</f>
        <v>0.17202004158055523</v>
      </c>
      <c r="T15" t="s">
        <v>58</v>
      </c>
      <c r="U15" s="5">
        <f>_xlfn.QUARTILE.INC(Table6[R% of Pop],1)</f>
        <v>0.18296571870260031</v>
      </c>
    </row>
    <row r="16" spans="1:21" x14ac:dyDescent="0.35">
      <c r="Q16" t="s">
        <v>60</v>
      </c>
      <c r="R16" s="5">
        <f>_xlfn.QUARTILE.INC(Table6[D% of Pop],3)</f>
        <v>0.20333729396346395</v>
      </c>
      <c r="T16" t="s">
        <v>60</v>
      </c>
      <c r="U16" s="5">
        <f>_xlfn.QUARTILE.INC(Table6[R% of Pop],3)</f>
        <v>0.21438278123036802</v>
      </c>
    </row>
    <row r="17" spans="17:21" x14ac:dyDescent="0.35">
      <c r="Q17" t="s">
        <v>67</v>
      </c>
      <c r="R17" s="5">
        <f>R16-R15</f>
        <v>3.1317252382908722E-2</v>
      </c>
      <c r="T17" t="s">
        <v>67</v>
      </c>
      <c r="U17" s="5">
        <f>U16-U15</f>
        <v>3.1417062527767714E-2</v>
      </c>
    </row>
    <row r="18" spans="17:21" x14ac:dyDescent="0.35">
      <c r="Q18" t="s">
        <v>69</v>
      </c>
      <c r="R18" s="5">
        <f>R16+(1.5*R17)</f>
        <v>0.25031317253782703</v>
      </c>
      <c r="T18" t="s">
        <v>69</v>
      </c>
      <c r="U18" s="5">
        <f>U16+(1.5*U17)</f>
        <v>0.26150837502201962</v>
      </c>
    </row>
    <row r="19" spans="17:21" x14ac:dyDescent="0.35">
      <c r="Q19" t="s">
        <v>56</v>
      </c>
      <c r="R19" s="5">
        <f>MIN(Table6[D% of Pop])</f>
        <v>0.138986288708909</v>
      </c>
      <c r="T19" t="s">
        <v>56</v>
      </c>
      <c r="U19" s="5">
        <f>MIN(Table6[R% of Pop])</f>
        <v>0.14550454359850032</v>
      </c>
    </row>
    <row r="20" spans="17:21" x14ac:dyDescent="0.35">
      <c r="Q20" t="s">
        <v>57</v>
      </c>
      <c r="R20" s="5">
        <f>MAX(Table6[D% of Pop])</f>
        <v>0.24517691008355202</v>
      </c>
      <c r="T20" t="s">
        <v>57</v>
      </c>
      <c r="U20" s="5">
        <f>MAX(Table6[R% of Pop])</f>
        <v>0.23091965058095157</v>
      </c>
    </row>
    <row r="24" spans="17:21" x14ac:dyDescent="0.35">
      <c r="Q24" s="48" t="s">
        <v>55</v>
      </c>
      <c r="R24" s="48"/>
    </row>
    <row r="25" spans="17:21" x14ac:dyDescent="0.35">
      <c r="Q25" t="s">
        <v>65</v>
      </c>
      <c r="R25" s="1">
        <f>AVERAGE(Table6[T% of Pop])</f>
        <v>0.38530252398498988</v>
      </c>
    </row>
    <row r="26" spans="17:21" x14ac:dyDescent="0.35">
      <c r="Q26" t="s">
        <v>80</v>
      </c>
      <c r="R26" s="1">
        <f>_xlfn.STDEV.S(Table6[T% of Pop])</f>
        <v>4.1771064170355816E-2</v>
      </c>
    </row>
  </sheetData>
  <mergeCells count="5">
    <mergeCell ref="Q1:R1"/>
    <mergeCell ref="T1:U1"/>
    <mergeCell ref="Q12:R12"/>
    <mergeCell ref="T12:U12"/>
    <mergeCell ref="Q24:R24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9E0A-C9E0-4FB0-AAF1-CE0A6AE41B2C}">
  <dimension ref="A1:D15"/>
  <sheetViews>
    <sheetView workbookViewId="0">
      <selection activeCell="B15" sqref="B15"/>
    </sheetView>
  </sheetViews>
  <sheetFormatPr defaultRowHeight="14.5" x14ac:dyDescent="0.35"/>
  <sheetData>
    <row r="1" spans="1:4" x14ac:dyDescent="0.35">
      <c r="A1" t="s">
        <v>0</v>
      </c>
      <c r="B1" t="s">
        <v>61</v>
      </c>
      <c r="C1" t="s">
        <v>64</v>
      </c>
      <c r="D1" t="s">
        <v>55</v>
      </c>
    </row>
    <row r="2" spans="1:4" x14ac:dyDescent="0.35">
      <c r="A2" s="29">
        <v>1972</v>
      </c>
      <c r="B2" s="41">
        <v>0.95543488083114458</v>
      </c>
      <c r="C2" s="41">
        <v>0.12953982222191485</v>
      </c>
      <c r="D2" s="41">
        <v>0.69497015542585816</v>
      </c>
    </row>
    <row r="3" spans="1:4" x14ac:dyDescent="0.35">
      <c r="A3" s="30">
        <v>1976</v>
      </c>
      <c r="B3" s="42">
        <v>0.51317318828977831</v>
      </c>
      <c r="C3" s="42">
        <v>0.73879794023941625</v>
      </c>
      <c r="D3" s="42">
        <v>0.66790102114301608</v>
      </c>
    </row>
    <row r="4" spans="1:4" x14ac:dyDescent="0.35">
      <c r="A4" s="29">
        <v>1980</v>
      </c>
      <c r="B4" s="41">
        <v>0.8659174896793258</v>
      </c>
      <c r="C4" s="41">
        <v>0.54161458457658262</v>
      </c>
      <c r="D4" s="41">
        <v>0.80502034741251016</v>
      </c>
    </row>
    <row r="5" spans="1:4" x14ac:dyDescent="0.35">
      <c r="A5" s="30">
        <v>1984</v>
      </c>
      <c r="B5" s="42">
        <v>0.84061904610896354</v>
      </c>
      <c r="C5" s="42">
        <v>8.5148237536071814E-2</v>
      </c>
      <c r="D5" s="42">
        <v>0.44511487181015574</v>
      </c>
    </row>
    <row r="6" spans="1:4" x14ac:dyDescent="0.35">
      <c r="A6" s="29">
        <v>1988</v>
      </c>
      <c r="B6" s="41">
        <v>0.7239766909398262</v>
      </c>
      <c r="C6" s="41">
        <v>0.43691866817137337</v>
      </c>
      <c r="D6" s="41">
        <v>0.63057759880320297</v>
      </c>
    </row>
    <row r="7" spans="1:4" x14ac:dyDescent="0.35">
      <c r="A7" s="30">
        <v>1992</v>
      </c>
      <c r="B7" s="42">
        <v>0.67501721919185154</v>
      </c>
      <c r="C7" s="42">
        <v>0.95547475255812642</v>
      </c>
      <c r="D7" s="42">
        <v>0.91812879806845071</v>
      </c>
    </row>
    <row r="8" spans="1:4" x14ac:dyDescent="0.35">
      <c r="A8" s="29">
        <v>1996</v>
      </c>
      <c r="B8" s="41">
        <v>0.66404568712376411</v>
      </c>
      <c r="C8" s="41">
        <v>0.97570889028626384</v>
      </c>
      <c r="D8" s="41">
        <v>0.93829370510271004</v>
      </c>
    </row>
    <row r="9" spans="1:4" x14ac:dyDescent="0.35">
      <c r="A9" s="30">
        <v>2000</v>
      </c>
      <c r="B9" s="42">
        <v>0.60184537514042757</v>
      </c>
      <c r="C9" s="42">
        <v>0.74797077411032564</v>
      </c>
      <c r="D9" s="42">
        <v>0.72937707232597859</v>
      </c>
    </row>
    <row r="10" spans="1:4" x14ac:dyDescent="0.35">
      <c r="A10" s="29">
        <v>2004</v>
      </c>
      <c r="B10" s="41">
        <v>0.32219621892795258</v>
      </c>
      <c r="C10" s="41">
        <v>0.26566838284572381</v>
      </c>
      <c r="D10" s="41">
        <v>0.24066689053435786</v>
      </c>
    </row>
    <row r="11" spans="1:4" x14ac:dyDescent="0.35">
      <c r="A11" s="30">
        <v>2008</v>
      </c>
      <c r="B11" s="42">
        <v>8.1939066521313553E-2</v>
      </c>
      <c r="C11" s="42">
        <v>0.48046655317199172</v>
      </c>
      <c r="D11" s="42">
        <v>0.15814467049557468</v>
      </c>
    </row>
    <row r="12" spans="1:4" x14ac:dyDescent="0.35">
      <c r="A12" s="29">
        <v>2012</v>
      </c>
      <c r="B12" s="41">
        <v>0.22569712421870203</v>
      </c>
      <c r="C12" s="41">
        <v>0.52696204154680837</v>
      </c>
      <c r="D12" s="41">
        <v>0.31637307479417331</v>
      </c>
    </row>
    <row r="13" spans="1:4" x14ac:dyDescent="0.35">
      <c r="A13" s="30">
        <v>2016</v>
      </c>
      <c r="B13" s="42">
        <v>0.29395576877141871</v>
      </c>
      <c r="C13" s="42">
        <v>0.51331855098950663</v>
      </c>
      <c r="D13" s="42">
        <v>0.36318746866275031</v>
      </c>
    </row>
    <row r="14" spans="1:4" x14ac:dyDescent="0.35">
      <c r="A14" s="29">
        <v>2020</v>
      </c>
      <c r="B14" s="41">
        <v>2.4628977228496107E-2</v>
      </c>
      <c r="C14" s="41">
        <v>0.13658006504645548</v>
      </c>
      <c r="D14" s="41">
        <v>1.9685088640412074E-2</v>
      </c>
    </row>
    <row r="15" spans="1:4" x14ac:dyDescent="0.35">
      <c r="A15" s="30">
        <v>2024</v>
      </c>
      <c r="B15" s="42">
        <v>0.32546373361202297</v>
      </c>
      <c r="C15" s="42">
        <v>0.22464862207048009</v>
      </c>
      <c r="D15" s="42">
        <v>0.17133058259366618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AD76-35DC-451E-89C4-91348167597C}">
  <dimension ref="A1"/>
  <sheetViews>
    <sheetView zoomScale="70" zoomScaleNormal="70" workbookViewId="0">
      <selection activeCell="AN81" sqref="AN8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Vote Data</vt:lpstr>
      <vt:lpstr>DR Breakdown</vt:lpstr>
      <vt:lpstr>Z Scores</vt:lpstr>
      <vt:lpstr>Votes and Population</vt:lpstr>
      <vt:lpstr>1972-2024</vt:lpstr>
      <vt:lpstr>Sheet1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Pace</dc:creator>
  <cp:lastModifiedBy>Daniel Pace</cp:lastModifiedBy>
  <dcterms:created xsi:type="dcterms:W3CDTF">2024-11-07T15:39:16Z</dcterms:created>
  <dcterms:modified xsi:type="dcterms:W3CDTF">2024-11-11T16:53:48Z</dcterms:modified>
</cp:coreProperties>
</file>